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HIỆN NHÂN  HOSPITAL ( MINH DIỆP)\KHÁM SK ĐƠN VỊ\KSK ĐƠN VỊ 2025\BÁO GIÁ 2025\"/>
    </mc:Choice>
  </mc:AlternateContent>
  <xr:revisionPtr revIDLastSave="0" documentId="13_ncr:1_{25A0E34B-C959-473F-BAAA-1E7997F02434}" xr6:coauthVersionLast="47" xr6:coauthVersionMax="47" xr10:uidLastSave="{00000000-0000-0000-0000-000000000000}"/>
  <bookViews>
    <workbookView xWindow="-108" yWindow="-108" windowWidth="23256" windowHeight="12576" activeTab="1" xr2:uid="{A4ADD4B8-43D9-4CF5-B8F1-56679EF5CAE9}"/>
  </bookViews>
  <sheets>
    <sheet name="Giá vốn" sheetId="1" r:id="rId1"/>
    <sheet name="Bảng phân tích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9" i="2" l="1"/>
  <c r="C5" i="2"/>
  <c r="C3" i="2"/>
  <c r="C6" i="2" s="1"/>
  <c r="F31" i="1"/>
  <c r="E31" i="1"/>
  <c r="G30" i="1"/>
  <c r="G31" i="1" s="1"/>
  <c r="H29" i="1"/>
  <c r="J29" i="1" s="1"/>
  <c r="H28" i="1"/>
  <c r="J28" i="1" s="1"/>
  <c r="H27" i="1"/>
  <c r="J27" i="1" s="1"/>
  <c r="H26" i="1"/>
  <c r="J26" i="1" s="1"/>
  <c r="H25" i="1"/>
  <c r="J25" i="1" s="1"/>
  <c r="H24" i="1"/>
  <c r="J24" i="1" s="1"/>
  <c r="H23" i="1"/>
  <c r="J23" i="1" s="1"/>
  <c r="H22" i="1"/>
  <c r="J22" i="1" s="1"/>
  <c r="J21" i="1"/>
  <c r="H21" i="1"/>
  <c r="H20" i="1"/>
  <c r="J20" i="1" s="1"/>
  <c r="H19" i="1"/>
  <c r="J19" i="1" s="1"/>
  <c r="H18" i="1"/>
  <c r="J18" i="1" s="1"/>
  <c r="H17" i="1"/>
  <c r="J17" i="1" s="1"/>
  <c r="H16" i="1"/>
  <c r="J16" i="1" s="1"/>
  <c r="H15" i="1"/>
  <c r="J15" i="1" s="1"/>
  <c r="H14" i="1"/>
  <c r="J14" i="1" s="1"/>
  <c r="H13" i="1"/>
  <c r="J13" i="1" s="1"/>
  <c r="H12" i="1"/>
  <c r="J12" i="1" s="1"/>
  <c r="H11" i="1"/>
  <c r="J11" i="1" s="1"/>
  <c r="H10" i="1"/>
  <c r="J10" i="1" s="1"/>
  <c r="H9" i="1"/>
  <c r="J9" i="1" s="1"/>
  <c r="H8" i="1"/>
  <c r="J8" i="1" s="1"/>
  <c r="H7" i="1"/>
  <c r="J7" i="1" s="1"/>
  <c r="H6" i="1"/>
  <c r="J6" i="1" s="1"/>
  <c r="C11" i="2" l="1"/>
  <c r="C20" i="2" s="1"/>
  <c r="C21" i="2" s="1"/>
  <c r="C7" i="2"/>
  <c r="C8" i="2" s="1"/>
  <c r="C10" i="2" s="1"/>
  <c r="H30" i="1"/>
  <c r="J30" i="1" s="1"/>
  <c r="J31" i="1" s="1"/>
  <c r="J40" i="1"/>
  <c r="J70" i="1" l="1"/>
  <c r="J69" i="1"/>
  <c r="J68" i="1"/>
  <c r="J67" i="1"/>
  <c r="J63" i="1"/>
  <c r="J64" i="1" s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39" i="1"/>
  <c r="J42" i="1" s="1"/>
  <c r="J35" i="1"/>
  <c r="J34" i="1"/>
  <c r="J36" i="1" s="1"/>
  <c r="J71" i="1" l="1"/>
  <c r="J73" i="1" s="1"/>
  <c r="J75" i="1" l="1"/>
  <c r="J77" i="1" s="1"/>
</calcChain>
</file>

<file path=xl/sharedStrings.xml><?xml version="1.0" encoding="utf-8"?>
<sst xmlns="http://schemas.openxmlformats.org/spreadsheetml/2006/main" count="97" uniqueCount="96">
  <si>
    <t>TỔNG HỢP CHI PHÍ GIÁ VỐN</t>
  </si>
  <si>
    <t>CÔNG TY CAO SU (DRC)</t>
  </si>
  <si>
    <t>STT</t>
  </si>
  <si>
    <t>NỘI DUNG</t>
  </si>
  <si>
    <t xml:space="preserve">Số 
lượng cần
</t>
  </si>
  <si>
    <t>Số lượng
Ngày</t>
  </si>
  <si>
    <t xml:space="preserve">Giá test </t>
  </si>
  <si>
    <t xml:space="preserve"> Giá Hóa chất 
</t>
  </si>
  <si>
    <t>Giá Vật tư</t>
  </si>
  <si>
    <t>1. XÉT NGHỆM</t>
  </si>
  <si>
    <t>Tổng phân tích tế bào máu bằng máy Laser. (Xét nghiệm công thức máu toàn phần) (Hãng Sysmec -  Thụy Sỹ - Hóa chất chính hãng)</t>
  </si>
  <si>
    <t>Định lượng GLUCOSE máu. (Hãng Roche - Thụy sỹ - Hóa chất chính hãng - Hóa chất chính hãng)</t>
  </si>
  <si>
    <t>Nhóm máu RH ( ABO)</t>
  </si>
  <si>
    <t>AST ( SGOT )  (Hãng Roche - Thụy sỹ - Hóa chất chính hãng - Hóa chất chính hãng)</t>
  </si>
  <si>
    <t>ALT ( SGPT )  (Hãng Roche - Thụy sỹ - Hóa chất chính hãng - Hóa chất chính hãng)</t>
  </si>
  <si>
    <t>Gamma GT  (Hãng Roche - Thụy sỹ - Hóa chất chính hãng - Hóa chất chính hãng)</t>
  </si>
  <si>
    <t>Urea (Hãng Roche - Thụy sỹ - Hóa chất chính hãng - Hóa chất chính hãng)</t>
  </si>
  <si>
    <t>Định lượng CREATINIE máu (Hãng Roche - Thụy sỹ - Hóa chất chính hãng - Hóa chất chính hãng)</t>
  </si>
  <si>
    <t>HDL-cholesterol  (Hãng Roche - Thụy sỹ - Hóa chất chính hãng)</t>
  </si>
  <si>
    <t xml:space="preserve">LDL-cholesterol   (Hãng Roche - Thụy sỹ - Hóa chất chính hãng)    </t>
  </si>
  <si>
    <t>Cholesterol TP (Hãng Roche - Thụy sỹ - Hóa chất chính hãng)</t>
  </si>
  <si>
    <t>Triglycerid (Hãng Roche - Thụy sỹ - Hóa chất chính hãng)</t>
  </si>
  <si>
    <t>Định lượng ACID URIC máu (Hãng Roche - Thụy sỹ - Hóa chất chính hãng - Hóa chất chính hãng)</t>
  </si>
  <si>
    <t>Định lượng Can xi toàn phần</t>
  </si>
  <si>
    <t>HbA1C (Hãng Roche - Thụy sỹ - Hóa chất chính hãng - Hóa chất chính hãng)</t>
  </si>
  <si>
    <t>Ca 15-3  trong máu (Hãng Roche - Thụy sỹ - Hóa chất chính hãng)</t>
  </si>
  <si>
    <t>AFP  trong máu (Hãng Roche - Thụy sỹ - Hóa chất chính hãng)</t>
  </si>
  <si>
    <t>Ca 72-4  trong máu (Hãng Roche - Thụy sỹ - Hóa chất chính hãng)</t>
  </si>
  <si>
    <t>TSH  trong máu (Hãng Roche - Thụy sỹ - Hóa chất chính hãng)</t>
  </si>
  <si>
    <t>Free T4 trong máu (Hãng Roche - Thụy sỹ - Hóa chất chính hãng)</t>
  </si>
  <si>
    <t>Total T3 (Hãng Roche - Thụy sỹ - Hóa chất chính hãng)</t>
  </si>
  <si>
    <t>Cyfra 21-1  trong máu (Hãng Roche - Thụy sỹ - Hóa chất chính hãng)</t>
  </si>
  <si>
    <t>CA 125  trong máu (Hãng Roche - Thụy sỹ - Hóa chất chính hãng)</t>
  </si>
  <si>
    <t>CEA trong máu (Hãng Roche - Thụy sỹ - Hóa chất chính hãng)</t>
  </si>
  <si>
    <t>Nước tiểu 10 thông số. (Xét nghiệm nước tiểu toàn phần) (Hãng Roche - Thụy sỹ - Hóa chất chính hãng - Hóa chất chính hãng - Hóa chất chính hãng)</t>
  </si>
  <si>
    <t>TỔNG HÓA CHẤT _VẬT TƯ XÉT NGHIỆM</t>
  </si>
  <si>
    <t>2. THUÊ MÁY MÓC</t>
  </si>
  <si>
    <t>Thuê 2 máy siêu âm đủ 3 đầu dò</t>
  </si>
  <si>
    <t>Thuê 3 máy siêu âm đủ 2 đầu dò</t>
  </si>
  <si>
    <t>TỔNG CP THUÊ MÁY SIÊU ÂM</t>
  </si>
  <si>
    <t>3. CHI PHÍ THUÊ XE</t>
  </si>
  <si>
    <t>TỔNG CHI PHÍ THUÊ XE</t>
  </si>
  <si>
    <t>4. CHI PHÍ NHÂN SỰ</t>
  </si>
  <si>
    <t>Bác sĩ tư vấn tổng quát</t>
  </si>
  <si>
    <t>Bác sĩ khám sản + vú + soi cổ</t>
  </si>
  <si>
    <t>Bác sĩ Siêu âm bụng+ vú+ giáp+ tim</t>
  </si>
  <si>
    <t>Nữ hộ sinh</t>
  </si>
  <si>
    <t>Điều dưỡng phụ siêu âm</t>
  </si>
  <si>
    <t>KTV xquang</t>
  </si>
  <si>
    <t>Điều dưỡng Điện tim</t>
  </si>
  <si>
    <t>KTV lấy máu</t>
  </si>
  <si>
    <t>Điều dưỡng Cân đo huyết áp</t>
  </si>
  <si>
    <t>Điều dưỡng tổng hợp hồ sơ</t>
  </si>
  <si>
    <t>Nhân viên CSKH</t>
  </si>
  <si>
    <t>Nhân viên lắp đặt máy móc, thiết bị khám</t>
  </si>
  <si>
    <t>Lái xe cấp cứu</t>
  </si>
  <si>
    <t>Nhân sự Hậu cần</t>
  </si>
  <si>
    <t>TỔNG CHI PHÍ NHÂN SỰ</t>
  </si>
  <si>
    <t>5. CHI PHÍ VÁCH  + MARKETING</t>
  </si>
  <si>
    <t>TỔNG CHI PHÍ MKT</t>
  </si>
  <si>
    <t>6. CHI PHÍ KHẤU HAO MÁY MÓC</t>
  </si>
  <si>
    <t>Soi cổ tử cung</t>
  </si>
  <si>
    <t>Máy X-quang di động</t>
  </si>
  <si>
    <t>Máy đo huyết áp</t>
  </si>
  <si>
    <t>Máy đo điện tim</t>
  </si>
  <si>
    <t>TỔNG CHI PHÍ KHẤU HAO</t>
  </si>
  <si>
    <t>TỔNG GIÁ VỐN ( CHƯA BAO GỒM CHI PHÍ QUẢN LÍ)</t>
  </si>
  <si>
    <t>CHI PHÍ QUẢN LÍ _DỰ TRÙ 2% TỔNG GIÁ VỐN</t>
  </si>
  <si>
    <t>TỔNG GIÁ VỐN (ĐÃ BAO GỒM CHI PHÍ QUẢN LÍ)</t>
  </si>
  <si>
    <t>Xe 45 chỗ</t>
  </si>
  <si>
    <t>Xe tải</t>
  </si>
  <si>
    <t>Xe cấp cứu</t>
  </si>
  <si>
    <t>Upsale, bảo hiểm</t>
  </si>
  <si>
    <t>Rút sổ chỉ định</t>
  </si>
  <si>
    <t>GIÁ VỐN DANH MỤC
( Giá test + giá hóa chất + Giá vật tư )</t>
  </si>
  <si>
    <t>SL THỰC HIỆN</t>
  </si>
  <si>
    <t>TỔNG GIÁ VỐN XN THỰC HIỆN CHO DRC</t>
  </si>
  <si>
    <t>PHÂN TÍCH HIỆU QUẢ KINH DOANH
 KHÁM NGOẠI VIỆN DRC</t>
  </si>
  <si>
    <t>SỐ TIỀN THANH LÝ HD</t>
  </si>
  <si>
    <t>SỐ TIỀN THỰC TẾ</t>
  </si>
  <si>
    <t>CHÊNH LỆCH (3)=(1)-(2)</t>
  </si>
  <si>
    <t>CHÊNH LỆCH GỬI KH (80%) (4)=80%*(3)</t>
  </si>
  <si>
    <t>CHIẾC KHẤU GỬI KH (13%) (5)=15%*(2)</t>
  </si>
  <si>
    <t>CHIẾC KHẤU THỰC TẾ GỬI KH (90%) (6)=90%*(5)</t>
  </si>
  <si>
    <t>TỔNG TIỀN GỬI LẠI KH (7)=(6)+(4)</t>
  </si>
  <si>
    <t>CHI PHÍ KHÁM NGOẠI VIỆN</t>
  </si>
  <si>
    <t>TỔNG TIỀN THỰC TẾ GỬI KH (9)=(7)-(8)</t>
  </si>
  <si>
    <t>TỔNG TIỀN THIỆN NHÂN GIỮ LẠI (10)=(1)-(9)</t>
  </si>
  <si>
    <t>CHI PHÍ KHÁM NGOẠI VIỆN PHÁT SINH</t>
  </si>
  <si>
    <t>CHI PHÍ NHÂN SỰ</t>
  </si>
  <si>
    <t>TỔNG CHI PHÍ DỰ KIẾN</t>
  </si>
  <si>
    <t xml:space="preserve">LỢI NHUẬN TRƯỚC THUẾ </t>
  </si>
  <si>
    <t>CHI PHÍ THUÊ MÁY SIÊU ÂM</t>
  </si>
  <si>
    <t>CHI PHÍ VÁCH + MKT</t>
  </si>
  <si>
    <t>CHI PHÍ KHẤU HAO MÁY MÓC</t>
  </si>
  <si>
    <t>CHI PHÍ THUÊ XE ( 45C VÀ VẬN CHUYỂN TTB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</si>
</sst>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-* #,##0\ _₫_-;\-* #,##0\ _₫_-;_-* &quot;-&quot;??\ _₫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ED0000"/>
      <name val="Calibri"/>
      <family val="2"/>
      <scheme val="minor"/>
    </font>
    <font>
      <sz val="11"/>
      <color rgb="FFED0000"/>
      <name val="Calibri"/>
      <family val="2"/>
      <scheme val="minor"/>
    </font>
    <font>
      <b/>
      <sz val="16"/>
      <color rgb="FFED0000"/>
      <name val="Calibri"/>
      <family val="2"/>
      <scheme val="minor"/>
    </font>
    <font>
      <b/>
      <sz val="16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9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0" fillId="0" borderId="0" xfId="1" applyNumberFormat="1" applyFont="1"/>
    <xf numFmtId="164" fontId="0" fillId="0" borderId="0" xfId="0" applyNumberFormat="1"/>
    <xf numFmtId="0" fontId="2" fillId="0" borderId="0" xfId="0" applyFont="1" applyAlignment="1">
      <alignment horizontal="left"/>
    </xf>
    <xf numFmtId="164" fontId="2" fillId="0" borderId="0" xfId="1" applyNumberFormat="1" applyFont="1"/>
    <xf numFmtId="164" fontId="2" fillId="0" borderId="0" xfId="0" applyNumberFormat="1" applyFont="1"/>
    <xf numFmtId="0" fontId="2" fillId="0" borderId="0" xfId="0" applyFont="1"/>
    <xf numFmtId="0" fontId="0" fillId="0" borderId="0" xfId="0" applyAlignment="1">
      <alignment horizontal="left"/>
    </xf>
    <xf numFmtId="164" fontId="0" fillId="0" borderId="0" xfId="1" applyNumberFormat="1" applyFont="1" applyAlignment="1">
      <alignment horizontal="center"/>
    </xf>
    <xf numFmtId="164" fontId="1" fillId="0" borderId="0" xfId="1" applyNumberFormat="1" applyFon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1" applyNumberFormat="1" applyFont="1" applyAlignment="1">
      <alignment horizontal="left"/>
    </xf>
    <xf numFmtId="164" fontId="1" fillId="0" borderId="0" xfId="1" applyNumberFormat="1" applyFont="1"/>
    <xf numFmtId="43" fontId="2" fillId="0" borderId="0" xfId="0" applyNumberFormat="1" applyFont="1"/>
    <xf numFmtId="0" fontId="0" fillId="3" borderId="0" xfId="0" applyFill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43" fontId="6" fillId="2" borderId="0" xfId="0" applyNumberFormat="1" applyFont="1" applyFill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64" fontId="2" fillId="4" borderId="1" xfId="1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4" fontId="2" fillId="0" borderId="1" xfId="1" applyNumberFormat="1" applyFont="1" applyBorder="1" applyAlignment="1">
      <alignment horizontal="center" vertical="center" wrapText="1"/>
    </xf>
    <xf numFmtId="164" fontId="2" fillId="4" borderId="1" xfId="1" applyNumberFormat="1" applyFont="1" applyFill="1" applyBorder="1" applyAlignment="1">
      <alignment horizontal="center" wrapText="1"/>
    </xf>
    <xf numFmtId="0" fontId="4" fillId="0" borderId="1" xfId="0" applyFont="1" applyBorder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164" fontId="0" fillId="4" borderId="1" xfId="1" applyNumberFormat="1" applyFont="1" applyFill="1" applyBorder="1"/>
    <xf numFmtId="164" fontId="0" fillId="4" borderId="1" xfId="1" applyNumberFormat="1" applyFont="1" applyFill="1" applyBorder="1" applyAlignment="1">
      <alignment vertical="center"/>
    </xf>
    <xf numFmtId="164" fontId="5" fillId="0" borderId="1" xfId="0" applyNumberFormat="1" applyFont="1" applyBorder="1"/>
    <xf numFmtId="164" fontId="0" fillId="0" borderId="1" xfId="1" applyNumberFormat="1" applyFont="1" applyBorder="1"/>
    <xf numFmtId="164" fontId="0" fillId="0" borderId="1" xfId="0" applyNumberForma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164" fontId="2" fillId="4" borderId="1" xfId="1" applyNumberFormat="1" applyFont="1" applyFill="1" applyBorder="1"/>
    <xf numFmtId="164" fontId="2" fillId="0" borderId="1" xfId="0" applyNumberFormat="1" applyFont="1" applyBorder="1"/>
    <xf numFmtId="164" fontId="2" fillId="0" borderId="1" xfId="1" applyNumberFormat="1" applyFont="1" applyBorder="1"/>
    <xf numFmtId="164" fontId="4" fillId="0" borderId="1" xfId="0" applyNumberFormat="1" applyFont="1" applyBorder="1"/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65" fontId="9" fillId="0" borderId="1" xfId="1" applyNumberFormat="1" applyFont="1" applyBorder="1" applyAlignment="1">
      <alignment horizontal="center" vertical="center"/>
    </xf>
    <xf numFmtId="165" fontId="8" fillId="0" borderId="1" xfId="1" applyNumberFormat="1" applyFont="1" applyBorder="1" applyAlignment="1">
      <alignment horizontal="center" vertical="center"/>
    </xf>
    <xf numFmtId="164" fontId="8" fillId="0" borderId="1" xfId="1" applyNumberFormat="1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165" fontId="0" fillId="0" borderId="0" xfId="0" applyNumberFormat="1" applyAlignment="1">
      <alignment vertical="center"/>
    </xf>
    <xf numFmtId="165" fontId="9" fillId="3" borderId="1" xfId="1" applyNumberFormat="1" applyFont="1" applyFill="1" applyBorder="1" applyAlignment="1">
      <alignment horizontal="center" vertical="center"/>
    </xf>
    <xf numFmtId="9" fontId="0" fillId="0" borderId="0" xfId="2" applyFont="1" applyAlignment="1">
      <alignment vertical="center"/>
    </xf>
    <xf numFmtId="9" fontId="0" fillId="0" borderId="0" xfId="2" applyFont="1" applyAlignment="1">
      <alignment horizontal="center" vertical="center"/>
    </xf>
    <xf numFmtId="9" fontId="4" fillId="0" borderId="0" xfId="2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16.%20GI&#193;%20D&#7882;CH%20V&#7908;\GI&#193;%20V&#7888;N%20KSK%20&#272;O&#192;N\KSK%20&#272;O&#192;N%20CTY%20CAO%20SU.xlsx" TargetMode="External"/><Relationship Id="rId1" Type="http://schemas.openxmlformats.org/officeDocument/2006/relationships/externalLinkPath" Target="file:///D:\16.%20GI&#193;%20D&#7882;CH%20V&#7908;\GI&#193;%20V&#7888;N%20KSK%20&#272;O&#192;N\KSK%20&#272;O&#192;N%20CTY%20CAO%20SU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ỔNG"/>
      <sheetName val="GIÁ VỐN"/>
      <sheetName val="VẬT TƯ"/>
    </sheetNames>
    <sheetDataSet>
      <sheetData sheetId="0"/>
      <sheetData sheetId="1"/>
      <sheetData sheetId="2">
        <row r="10">
          <cell r="B10">
            <v>2500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3F134-1F75-430B-A1DE-CF55338C32AD}">
  <dimension ref="A1:J77"/>
  <sheetViews>
    <sheetView topLeftCell="A37" zoomScale="85" zoomScaleNormal="85" workbookViewId="0">
      <selection activeCell="H75" sqref="H75"/>
    </sheetView>
  </sheetViews>
  <sheetFormatPr defaultRowHeight="14.4" x14ac:dyDescent="0.3"/>
  <cols>
    <col min="1" max="1" width="8.77734375" style="1"/>
    <col min="2" max="2" width="55.77734375" customWidth="1"/>
    <col min="3" max="4" width="9.6640625" style="1" customWidth="1"/>
    <col min="5" max="5" width="10.5546875" style="4" bestFit="1" customWidth="1"/>
    <col min="6" max="6" width="13.33203125" style="4" bestFit="1" customWidth="1"/>
    <col min="7" max="7" width="10.44140625" style="4" bestFit="1" customWidth="1"/>
    <col min="8" max="8" width="22.33203125" bestFit="1" customWidth="1"/>
    <col min="9" max="9" width="13.33203125" bestFit="1" customWidth="1"/>
    <col min="10" max="10" width="23" bestFit="1" customWidth="1"/>
  </cols>
  <sheetData>
    <row r="1" spans="1:10" x14ac:dyDescent="0.3">
      <c r="B1" s="18" t="s">
        <v>0</v>
      </c>
      <c r="C1" s="18"/>
      <c r="D1" s="18"/>
      <c r="E1" s="18"/>
      <c r="F1" s="18"/>
      <c r="G1" s="18"/>
      <c r="H1" s="18"/>
    </row>
    <row r="2" spans="1:10" x14ac:dyDescent="0.3">
      <c r="B2" s="19" t="s">
        <v>1</v>
      </c>
      <c r="C2" s="19"/>
      <c r="D2" s="19"/>
      <c r="E2" s="19"/>
      <c r="F2" s="19"/>
      <c r="G2" s="19"/>
      <c r="H2" s="19"/>
    </row>
    <row r="4" spans="1:10" s="3" customFormat="1" ht="43.2" x14ac:dyDescent="0.3">
      <c r="A4" s="21" t="s">
        <v>2</v>
      </c>
      <c r="B4" s="21" t="s">
        <v>3</v>
      </c>
      <c r="C4" s="22" t="s">
        <v>4</v>
      </c>
      <c r="D4" s="22" t="s">
        <v>5</v>
      </c>
      <c r="E4" s="23" t="s">
        <v>6</v>
      </c>
      <c r="F4" s="23" t="s">
        <v>7</v>
      </c>
      <c r="G4" s="23" t="s">
        <v>8</v>
      </c>
      <c r="H4" s="24" t="s">
        <v>74</v>
      </c>
      <c r="I4" s="25" t="s">
        <v>75</v>
      </c>
      <c r="J4" s="22" t="s">
        <v>76</v>
      </c>
    </row>
    <row r="5" spans="1:10" s="3" customFormat="1" x14ac:dyDescent="0.3">
      <c r="A5" s="21"/>
      <c r="B5" s="21" t="s">
        <v>9</v>
      </c>
      <c r="C5" s="21"/>
      <c r="D5" s="21"/>
      <c r="E5" s="23"/>
      <c r="F5" s="26"/>
      <c r="G5" s="23"/>
      <c r="H5" s="27"/>
      <c r="I5" s="28"/>
      <c r="J5" s="21"/>
    </row>
    <row r="6" spans="1:10" x14ac:dyDescent="0.3">
      <c r="A6" s="29">
        <v>1</v>
      </c>
      <c r="B6" s="30" t="s">
        <v>10</v>
      </c>
      <c r="C6" s="29">
        <v>1</v>
      </c>
      <c r="D6" s="29"/>
      <c r="E6" s="31">
        <v>25000</v>
      </c>
      <c r="F6" s="31">
        <v>0</v>
      </c>
      <c r="G6" s="32">
        <v>6618</v>
      </c>
      <c r="H6" s="33">
        <f>E6+F6+G6</f>
        <v>31618</v>
      </c>
      <c r="I6" s="34">
        <v>1980</v>
      </c>
      <c r="J6" s="35">
        <f>H6*I6</f>
        <v>62603640</v>
      </c>
    </row>
    <row r="7" spans="1:10" x14ac:dyDescent="0.3">
      <c r="A7" s="29">
        <v>2</v>
      </c>
      <c r="B7" s="30" t="s">
        <v>11</v>
      </c>
      <c r="C7" s="29">
        <v>1</v>
      </c>
      <c r="D7" s="29"/>
      <c r="E7" s="31">
        <v>1748.25</v>
      </c>
      <c r="F7" s="31">
        <v>788</v>
      </c>
      <c r="G7" s="32">
        <v>6618</v>
      </c>
      <c r="H7" s="33">
        <f t="shared" ref="H7:H29" si="0">E7+F7+G7</f>
        <v>9154.25</v>
      </c>
      <c r="I7" s="34">
        <v>1980</v>
      </c>
      <c r="J7" s="35">
        <f t="shared" ref="J7:J30" si="1">H7*I7</f>
        <v>18125415</v>
      </c>
    </row>
    <row r="8" spans="1:10" x14ac:dyDescent="0.3">
      <c r="A8" s="29">
        <v>3</v>
      </c>
      <c r="B8" s="30" t="s">
        <v>12</v>
      </c>
      <c r="C8" s="29">
        <v>1</v>
      </c>
      <c r="D8" s="29"/>
      <c r="E8" s="31">
        <v>26400</v>
      </c>
      <c r="F8" s="31">
        <v>0</v>
      </c>
      <c r="G8" s="32">
        <v>6618</v>
      </c>
      <c r="H8" s="33">
        <f t="shared" si="0"/>
        <v>33018</v>
      </c>
      <c r="I8" s="34">
        <v>250</v>
      </c>
      <c r="J8" s="35">
        <f t="shared" si="1"/>
        <v>8254500</v>
      </c>
    </row>
    <row r="9" spans="1:10" x14ac:dyDescent="0.3">
      <c r="A9" s="29">
        <v>4</v>
      </c>
      <c r="B9" s="30" t="s">
        <v>13</v>
      </c>
      <c r="C9" s="29">
        <v>1</v>
      </c>
      <c r="D9" s="29"/>
      <c r="E9" s="31">
        <v>2713.2840000000001</v>
      </c>
      <c r="F9" s="31">
        <v>788</v>
      </c>
      <c r="G9" s="32">
        <v>6618</v>
      </c>
      <c r="H9" s="33">
        <f t="shared" si="0"/>
        <v>10119.284</v>
      </c>
      <c r="I9" s="34">
        <v>1550</v>
      </c>
      <c r="J9" s="35">
        <f t="shared" si="1"/>
        <v>15684890.199999999</v>
      </c>
    </row>
    <row r="10" spans="1:10" x14ac:dyDescent="0.3">
      <c r="A10" s="29">
        <v>5</v>
      </c>
      <c r="B10" s="30" t="s">
        <v>14</v>
      </c>
      <c r="C10" s="29">
        <v>1</v>
      </c>
      <c r="D10" s="29"/>
      <c r="E10" s="31">
        <v>2713.2840000000001</v>
      </c>
      <c r="F10" s="31">
        <v>788</v>
      </c>
      <c r="G10" s="32">
        <v>6618</v>
      </c>
      <c r="H10" s="33">
        <f t="shared" si="0"/>
        <v>10119.284</v>
      </c>
      <c r="I10" s="34">
        <v>1550</v>
      </c>
      <c r="J10" s="35">
        <f t="shared" si="1"/>
        <v>15684890.199999999</v>
      </c>
    </row>
    <row r="11" spans="1:10" x14ac:dyDescent="0.3">
      <c r="A11" s="29">
        <v>6</v>
      </c>
      <c r="B11" s="30" t="s">
        <v>15</v>
      </c>
      <c r="C11" s="29">
        <v>1</v>
      </c>
      <c r="D11" s="29"/>
      <c r="E11" s="31">
        <v>2261.0700000000002</v>
      </c>
      <c r="F11" s="31">
        <v>788</v>
      </c>
      <c r="G11" s="32">
        <v>6618</v>
      </c>
      <c r="H11" s="33">
        <f t="shared" si="0"/>
        <v>9667.07</v>
      </c>
      <c r="I11" s="34">
        <v>1550</v>
      </c>
      <c r="J11" s="35">
        <f t="shared" si="1"/>
        <v>14983958.5</v>
      </c>
    </row>
    <row r="12" spans="1:10" x14ac:dyDescent="0.3">
      <c r="A12" s="29">
        <v>7</v>
      </c>
      <c r="B12" s="30" t="s">
        <v>16</v>
      </c>
      <c r="C12" s="29">
        <v>1</v>
      </c>
      <c r="D12" s="29"/>
      <c r="E12" s="31">
        <v>3048.9479999999999</v>
      </c>
      <c r="F12" s="31">
        <v>788</v>
      </c>
      <c r="G12" s="32">
        <v>6618</v>
      </c>
      <c r="H12" s="33">
        <f t="shared" si="0"/>
        <v>10454.948</v>
      </c>
      <c r="I12" s="34">
        <v>1550</v>
      </c>
      <c r="J12" s="35">
        <f t="shared" si="1"/>
        <v>16205169.4</v>
      </c>
    </row>
    <row r="13" spans="1:10" x14ac:dyDescent="0.3">
      <c r="A13" s="29">
        <v>8</v>
      </c>
      <c r="B13" s="30" t="s">
        <v>17</v>
      </c>
      <c r="C13" s="29">
        <v>1</v>
      </c>
      <c r="D13" s="29"/>
      <c r="E13" s="31">
        <v>1748.25</v>
      </c>
      <c r="F13" s="31">
        <v>788</v>
      </c>
      <c r="G13" s="32">
        <v>6618</v>
      </c>
      <c r="H13" s="33">
        <f t="shared" si="0"/>
        <v>9154.25</v>
      </c>
      <c r="I13" s="34">
        <v>1550</v>
      </c>
      <c r="J13" s="35">
        <f t="shared" si="1"/>
        <v>14189087.5</v>
      </c>
    </row>
    <row r="14" spans="1:10" x14ac:dyDescent="0.3">
      <c r="A14" s="29">
        <v>9</v>
      </c>
      <c r="B14" s="30" t="s">
        <v>18</v>
      </c>
      <c r="C14" s="29">
        <v>1</v>
      </c>
      <c r="D14" s="29"/>
      <c r="E14" s="31">
        <v>10163.16</v>
      </c>
      <c r="F14" s="31">
        <v>788</v>
      </c>
      <c r="G14" s="32">
        <v>6618</v>
      </c>
      <c r="H14" s="33">
        <f t="shared" si="0"/>
        <v>17569.16</v>
      </c>
      <c r="I14" s="34">
        <v>100</v>
      </c>
      <c r="J14" s="35">
        <f t="shared" si="1"/>
        <v>1756916</v>
      </c>
    </row>
    <row r="15" spans="1:10" x14ac:dyDescent="0.3">
      <c r="A15" s="29">
        <v>10</v>
      </c>
      <c r="B15" s="30" t="s">
        <v>19</v>
      </c>
      <c r="C15" s="29">
        <v>1</v>
      </c>
      <c r="D15" s="29"/>
      <c r="E15" s="31">
        <v>15297.1875</v>
      </c>
      <c r="F15" s="31">
        <v>788</v>
      </c>
      <c r="G15" s="32">
        <v>6618</v>
      </c>
      <c r="H15" s="33">
        <f t="shared" si="0"/>
        <v>22703.1875</v>
      </c>
      <c r="I15" s="34">
        <v>100</v>
      </c>
      <c r="J15" s="35">
        <f t="shared" si="1"/>
        <v>2270318.75</v>
      </c>
    </row>
    <row r="16" spans="1:10" x14ac:dyDescent="0.3">
      <c r="A16" s="29">
        <v>11</v>
      </c>
      <c r="B16" s="30" t="s">
        <v>20</v>
      </c>
      <c r="C16" s="29">
        <v>1</v>
      </c>
      <c r="D16" s="29"/>
      <c r="E16" s="31">
        <v>1748.25</v>
      </c>
      <c r="F16" s="31">
        <v>788</v>
      </c>
      <c r="G16" s="32">
        <v>6618</v>
      </c>
      <c r="H16" s="33">
        <f t="shared" si="0"/>
        <v>9154.25</v>
      </c>
      <c r="I16" s="34">
        <v>1550</v>
      </c>
      <c r="J16" s="35">
        <f t="shared" si="1"/>
        <v>14189087.5</v>
      </c>
    </row>
    <row r="17" spans="1:10" x14ac:dyDescent="0.3">
      <c r="A17" s="29">
        <v>12</v>
      </c>
      <c r="B17" s="30" t="s">
        <v>21</v>
      </c>
      <c r="C17" s="29">
        <v>1</v>
      </c>
      <c r="D17" s="29"/>
      <c r="E17" s="31">
        <v>2895.1019999999999</v>
      </c>
      <c r="F17" s="31">
        <v>788</v>
      </c>
      <c r="G17" s="32">
        <v>6618</v>
      </c>
      <c r="H17" s="33">
        <f t="shared" si="0"/>
        <v>10301.101999999999</v>
      </c>
      <c r="I17" s="34">
        <v>1550</v>
      </c>
      <c r="J17" s="35">
        <f t="shared" si="1"/>
        <v>15966708.099999998</v>
      </c>
    </row>
    <row r="18" spans="1:10" x14ac:dyDescent="0.3">
      <c r="A18" s="29">
        <v>13</v>
      </c>
      <c r="B18" s="30" t="s">
        <v>22</v>
      </c>
      <c r="C18" s="29">
        <v>1</v>
      </c>
      <c r="D18" s="29"/>
      <c r="E18" s="31">
        <v>2033.7974999999999</v>
      </c>
      <c r="F18" s="31">
        <v>787.99999999999977</v>
      </c>
      <c r="G18" s="32">
        <v>6618</v>
      </c>
      <c r="H18" s="33">
        <f t="shared" si="0"/>
        <v>9439.7975000000006</v>
      </c>
      <c r="I18" s="34">
        <v>1550</v>
      </c>
      <c r="J18" s="35">
        <f t="shared" si="1"/>
        <v>14631686.125</v>
      </c>
    </row>
    <row r="19" spans="1:10" x14ac:dyDescent="0.3">
      <c r="A19" s="29">
        <v>14</v>
      </c>
      <c r="B19" s="30" t="s">
        <v>23</v>
      </c>
      <c r="C19" s="29">
        <v>1</v>
      </c>
      <c r="D19" s="29"/>
      <c r="E19" s="31">
        <v>2109.4499999999998</v>
      </c>
      <c r="F19" s="31">
        <v>788</v>
      </c>
      <c r="G19" s="32">
        <v>6618</v>
      </c>
      <c r="H19" s="33">
        <f t="shared" si="0"/>
        <v>9515.4500000000007</v>
      </c>
      <c r="I19" s="34">
        <v>600</v>
      </c>
      <c r="J19" s="35">
        <f t="shared" si="1"/>
        <v>5709270</v>
      </c>
    </row>
    <row r="20" spans="1:10" x14ac:dyDescent="0.3">
      <c r="A20" s="29">
        <v>15</v>
      </c>
      <c r="B20" s="30" t="s">
        <v>24</v>
      </c>
      <c r="C20" s="29">
        <v>1</v>
      </c>
      <c r="D20" s="29"/>
      <c r="E20" s="31">
        <v>40017.442499999997</v>
      </c>
      <c r="F20" s="31">
        <v>2982.5575000000026</v>
      </c>
      <c r="G20" s="32">
        <v>6618</v>
      </c>
      <c r="H20" s="33">
        <f t="shared" si="0"/>
        <v>49618</v>
      </c>
      <c r="I20" s="34">
        <v>70</v>
      </c>
      <c r="J20" s="35">
        <f t="shared" si="1"/>
        <v>3473260</v>
      </c>
    </row>
    <row r="21" spans="1:10" x14ac:dyDescent="0.3">
      <c r="A21" s="29">
        <v>16</v>
      </c>
      <c r="B21" s="30" t="s">
        <v>25</v>
      </c>
      <c r="C21" s="29">
        <v>1</v>
      </c>
      <c r="D21" s="29"/>
      <c r="E21" s="31">
        <v>77097.824999999997</v>
      </c>
      <c r="F21" s="31">
        <v>3675.1750000000029</v>
      </c>
      <c r="G21" s="32">
        <v>6618</v>
      </c>
      <c r="H21" s="33">
        <f t="shared" si="0"/>
        <v>87391</v>
      </c>
      <c r="I21" s="34">
        <v>70</v>
      </c>
      <c r="J21" s="35">
        <f t="shared" si="1"/>
        <v>6117370</v>
      </c>
    </row>
    <row r="22" spans="1:10" x14ac:dyDescent="0.3">
      <c r="A22" s="29">
        <v>17</v>
      </c>
      <c r="B22" s="30" t="s">
        <v>26</v>
      </c>
      <c r="C22" s="29">
        <v>1</v>
      </c>
      <c r="D22" s="29"/>
      <c r="E22" s="31">
        <v>39650.31</v>
      </c>
      <c r="F22" s="31">
        <v>5457.6900000000023</v>
      </c>
      <c r="G22" s="32">
        <v>6618</v>
      </c>
      <c r="H22" s="33">
        <f t="shared" si="0"/>
        <v>51726</v>
      </c>
      <c r="I22" s="34">
        <v>100</v>
      </c>
      <c r="J22" s="35">
        <f t="shared" si="1"/>
        <v>5172600</v>
      </c>
    </row>
    <row r="23" spans="1:10" x14ac:dyDescent="0.3">
      <c r="A23" s="29">
        <v>18</v>
      </c>
      <c r="B23" s="30" t="s">
        <v>27</v>
      </c>
      <c r="C23" s="29">
        <v>1</v>
      </c>
      <c r="D23" s="29"/>
      <c r="E23" s="31">
        <v>77097.824999999997</v>
      </c>
      <c r="F23" s="31">
        <v>3675.1750000000029</v>
      </c>
      <c r="G23" s="32">
        <v>6618</v>
      </c>
      <c r="H23" s="33">
        <f t="shared" si="0"/>
        <v>87391</v>
      </c>
      <c r="I23" s="34">
        <v>100</v>
      </c>
      <c r="J23" s="35">
        <f t="shared" si="1"/>
        <v>8739100</v>
      </c>
    </row>
    <row r="24" spans="1:10" x14ac:dyDescent="0.3">
      <c r="A24" s="29">
        <v>19</v>
      </c>
      <c r="B24" s="30" t="s">
        <v>28</v>
      </c>
      <c r="C24" s="29">
        <v>1</v>
      </c>
      <c r="D24" s="29"/>
      <c r="E24" s="31">
        <v>26923.05</v>
      </c>
      <c r="F24" s="31">
        <v>6063.9500000000007</v>
      </c>
      <c r="G24" s="32">
        <v>6618</v>
      </c>
      <c r="H24" s="33">
        <f t="shared" si="0"/>
        <v>39605</v>
      </c>
      <c r="I24" s="34">
        <v>70</v>
      </c>
      <c r="J24" s="35">
        <f t="shared" si="1"/>
        <v>2772350</v>
      </c>
    </row>
    <row r="25" spans="1:10" x14ac:dyDescent="0.3">
      <c r="A25" s="29">
        <v>20</v>
      </c>
      <c r="B25" s="30" t="s">
        <v>29</v>
      </c>
      <c r="C25" s="29">
        <v>1</v>
      </c>
      <c r="D25" s="29"/>
      <c r="E25" s="31">
        <v>28269.202499999999</v>
      </c>
      <c r="F25" s="31">
        <v>5999.7975000000006</v>
      </c>
      <c r="G25" s="32">
        <v>6618</v>
      </c>
      <c r="H25" s="33">
        <f t="shared" si="0"/>
        <v>40887</v>
      </c>
      <c r="I25" s="34">
        <v>70</v>
      </c>
      <c r="J25" s="35">
        <f t="shared" si="1"/>
        <v>2862090</v>
      </c>
    </row>
    <row r="26" spans="1:10" x14ac:dyDescent="0.3">
      <c r="A26" s="29">
        <v>21</v>
      </c>
      <c r="B26" s="30" t="s">
        <v>30</v>
      </c>
      <c r="C26" s="29">
        <v>1</v>
      </c>
      <c r="D26" s="29"/>
      <c r="E26" s="31">
        <v>26923.05</v>
      </c>
      <c r="F26" s="31">
        <v>6063.9500000000007</v>
      </c>
      <c r="G26" s="32">
        <v>6618</v>
      </c>
      <c r="H26" s="33">
        <f t="shared" si="0"/>
        <v>39605</v>
      </c>
      <c r="I26" s="34">
        <v>70</v>
      </c>
      <c r="J26" s="35">
        <f t="shared" si="1"/>
        <v>2772350</v>
      </c>
    </row>
    <row r="27" spans="1:10" x14ac:dyDescent="0.3">
      <c r="A27" s="29">
        <v>22</v>
      </c>
      <c r="B27" s="30" t="s">
        <v>31</v>
      </c>
      <c r="C27" s="29">
        <v>1</v>
      </c>
      <c r="D27" s="29"/>
      <c r="E27" s="31">
        <v>61188.75</v>
      </c>
      <c r="F27" s="31">
        <v>4432.25</v>
      </c>
      <c r="G27" s="32">
        <v>6618</v>
      </c>
      <c r="H27" s="33">
        <f t="shared" si="0"/>
        <v>72239</v>
      </c>
      <c r="I27" s="34">
        <v>100</v>
      </c>
      <c r="J27" s="35">
        <f t="shared" si="1"/>
        <v>7223900</v>
      </c>
    </row>
    <row r="28" spans="1:10" x14ac:dyDescent="0.3">
      <c r="A28" s="29">
        <v>23</v>
      </c>
      <c r="B28" s="30" t="s">
        <v>32</v>
      </c>
      <c r="C28" s="29">
        <v>1</v>
      </c>
      <c r="D28" s="29"/>
      <c r="E28" s="31">
        <v>77097.824999999997</v>
      </c>
      <c r="F28" s="31">
        <v>7345.1750000000029</v>
      </c>
      <c r="G28" s="32">
        <v>6618</v>
      </c>
      <c r="H28" s="33">
        <f t="shared" si="0"/>
        <v>91061</v>
      </c>
      <c r="I28" s="34">
        <v>100</v>
      </c>
      <c r="J28" s="35">
        <f t="shared" si="1"/>
        <v>9106100</v>
      </c>
    </row>
    <row r="29" spans="1:10" x14ac:dyDescent="0.3">
      <c r="A29" s="29">
        <v>24</v>
      </c>
      <c r="B29" s="30" t="s">
        <v>33</v>
      </c>
      <c r="C29" s="29">
        <v>1</v>
      </c>
      <c r="D29" s="29"/>
      <c r="E29" s="31">
        <v>44055.9</v>
      </c>
      <c r="F29" s="31">
        <v>5248.0999999999985</v>
      </c>
      <c r="G29" s="32">
        <v>6618</v>
      </c>
      <c r="H29" s="33">
        <f t="shared" si="0"/>
        <v>55922</v>
      </c>
      <c r="I29" s="34">
        <v>100</v>
      </c>
      <c r="J29" s="35">
        <f t="shared" si="1"/>
        <v>5592200</v>
      </c>
    </row>
    <row r="30" spans="1:10" x14ac:dyDescent="0.3">
      <c r="A30" s="29">
        <v>25</v>
      </c>
      <c r="B30" s="30" t="s">
        <v>34</v>
      </c>
      <c r="C30" s="29">
        <v>1</v>
      </c>
      <c r="D30" s="29"/>
      <c r="E30" s="31">
        <v>7122.15</v>
      </c>
      <c r="F30" s="31">
        <v>0</v>
      </c>
      <c r="G30" s="31">
        <f>'[1]VẬT TƯ'!B10</f>
        <v>2500</v>
      </c>
      <c r="H30" s="33">
        <f>E30+F30+G30</f>
        <v>9622.15</v>
      </c>
      <c r="I30" s="34">
        <v>1980</v>
      </c>
      <c r="J30" s="35">
        <f t="shared" si="1"/>
        <v>19051857</v>
      </c>
    </row>
    <row r="31" spans="1:10" s="9" customFormat="1" x14ac:dyDescent="0.3">
      <c r="A31" s="36"/>
      <c r="B31" s="37" t="s">
        <v>35</v>
      </c>
      <c r="C31" s="36">
        <v>396</v>
      </c>
      <c r="D31" s="36">
        <v>5</v>
      </c>
      <c r="E31" s="38">
        <f>SUM(E6:E30)</f>
        <v>605323.36300000001</v>
      </c>
      <c r="F31" s="38">
        <f t="shared" ref="F31:G31" si="2">SUM(F6:F30)</f>
        <v>60399.820000000014</v>
      </c>
      <c r="G31" s="38">
        <f t="shared" si="2"/>
        <v>161332</v>
      </c>
      <c r="H31" s="39"/>
      <c r="I31" s="40"/>
      <c r="J31" s="41">
        <f>SUM(J6:J30)</f>
        <v>293138714.27499998</v>
      </c>
    </row>
    <row r="32" spans="1:10" s="9" customFormat="1" x14ac:dyDescent="0.3">
      <c r="A32" s="2"/>
      <c r="B32" s="6"/>
      <c r="C32" s="2"/>
      <c r="D32" s="2"/>
      <c r="E32" s="7"/>
      <c r="F32" s="7"/>
      <c r="G32" s="7"/>
      <c r="H32" s="8"/>
    </row>
    <row r="33" spans="2:10" x14ac:dyDescent="0.3">
      <c r="B33" s="2" t="s">
        <v>36</v>
      </c>
    </row>
    <row r="34" spans="2:10" x14ac:dyDescent="0.3">
      <c r="B34" s="10" t="s">
        <v>37</v>
      </c>
      <c r="C34" s="1">
        <v>2</v>
      </c>
      <c r="D34" s="1">
        <v>5</v>
      </c>
      <c r="E34" s="4">
        <v>4300000</v>
      </c>
      <c r="J34" s="5">
        <f>E34*C34*D34</f>
        <v>43000000</v>
      </c>
    </row>
    <row r="35" spans="2:10" x14ac:dyDescent="0.3">
      <c r="B35" s="10" t="s">
        <v>38</v>
      </c>
      <c r="C35" s="1">
        <v>3</v>
      </c>
      <c r="D35" s="1">
        <v>5</v>
      </c>
      <c r="E35" s="4">
        <v>2000000</v>
      </c>
      <c r="J35" s="5">
        <f>E35*C35*D35</f>
        <v>30000000</v>
      </c>
    </row>
    <row r="36" spans="2:10" x14ac:dyDescent="0.3">
      <c r="B36" s="6" t="s">
        <v>39</v>
      </c>
      <c r="J36" s="8">
        <f>SUM(J34:J35)</f>
        <v>73000000</v>
      </c>
    </row>
    <row r="37" spans="2:10" x14ac:dyDescent="0.3">
      <c r="B37" s="6"/>
      <c r="J37" s="8"/>
    </row>
    <row r="38" spans="2:10" x14ac:dyDescent="0.3">
      <c r="B38" s="2" t="s">
        <v>40</v>
      </c>
      <c r="J38" s="5"/>
    </row>
    <row r="39" spans="2:10" x14ac:dyDescent="0.3">
      <c r="B39" s="10" t="s">
        <v>69</v>
      </c>
      <c r="C39" s="1">
        <v>1</v>
      </c>
      <c r="D39" s="1">
        <v>5</v>
      </c>
      <c r="E39" s="4">
        <v>3000000</v>
      </c>
      <c r="J39" s="5">
        <f>C39*D39*E39</f>
        <v>15000000</v>
      </c>
    </row>
    <row r="40" spans="2:10" x14ac:dyDescent="0.3">
      <c r="B40" s="10" t="s">
        <v>70</v>
      </c>
      <c r="C40" s="1">
        <v>1</v>
      </c>
      <c r="D40" s="1">
        <v>2</v>
      </c>
      <c r="E40" s="4">
        <v>2000000</v>
      </c>
      <c r="J40" s="5">
        <f>C40*D40*E40</f>
        <v>4000000</v>
      </c>
    </row>
    <row r="41" spans="2:10" x14ac:dyDescent="0.3">
      <c r="B41" s="10" t="s">
        <v>71</v>
      </c>
      <c r="J41" s="5">
        <v>798413</v>
      </c>
    </row>
    <row r="42" spans="2:10" x14ac:dyDescent="0.3">
      <c r="B42" s="6" t="s">
        <v>41</v>
      </c>
      <c r="J42" s="8">
        <f>SUM(J39:J41)</f>
        <v>19798413</v>
      </c>
    </row>
    <row r="43" spans="2:10" x14ac:dyDescent="0.3">
      <c r="B43" s="10"/>
    </row>
    <row r="44" spans="2:10" x14ac:dyDescent="0.3">
      <c r="B44" s="2" t="s">
        <v>42</v>
      </c>
    </row>
    <row r="45" spans="2:10" x14ac:dyDescent="0.3">
      <c r="B45" s="10" t="s">
        <v>43</v>
      </c>
      <c r="C45" s="1">
        <v>5</v>
      </c>
      <c r="D45" s="1">
        <v>5</v>
      </c>
      <c r="E45" s="11"/>
      <c r="F45" s="12"/>
      <c r="G45" s="12"/>
      <c r="I45" s="13"/>
      <c r="J45" s="12">
        <f>C45*D45*E45</f>
        <v>0</v>
      </c>
    </row>
    <row r="46" spans="2:10" x14ac:dyDescent="0.3">
      <c r="B46" s="10" t="s">
        <v>44</v>
      </c>
      <c r="C46" s="1">
        <v>1</v>
      </c>
      <c r="D46" s="1">
        <v>5</v>
      </c>
      <c r="E46" s="14"/>
      <c r="F46" s="12"/>
      <c r="G46" s="12"/>
      <c r="I46" s="13"/>
      <c r="J46" s="12">
        <f>C46*D46*E46</f>
        <v>0</v>
      </c>
    </row>
    <row r="47" spans="2:10" x14ac:dyDescent="0.3">
      <c r="B47" s="10" t="s">
        <v>45</v>
      </c>
      <c r="C47" s="1">
        <v>4</v>
      </c>
      <c r="D47" s="1">
        <v>5</v>
      </c>
      <c r="E47" s="14"/>
      <c r="F47" s="12"/>
      <c r="G47" s="12"/>
      <c r="I47" s="13"/>
      <c r="J47" s="12">
        <f>C47*D47*E47</f>
        <v>0</v>
      </c>
    </row>
    <row r="48" spans="2:10" x14ac:dyDescent="0.3">
      <c r="B48" s="10" t="s">
        <v>46</v>
      </c>
      <c r="C48" s="1">
        <v>1</v>
      </c>
      <c r="D48" s="1">
        <v>5</v>
      </c>
      <c r="E48" s="14"/>
      <c r="F48" s="12"/>
      <c r="G48" s="12"/>
      <c r="I48" s="13"/>
      <c r="J48" s="12">
        <f>C48*D48*E48</f>
        <v>0</v>
      </c>
    </row>
    <row r="49" spans="1:10" x14ac:dyDescent="0.3">
      <c r="B49" s="10" t="s">
        <v>47</v>
      </c>
      <c r="C49" s="1">
        <v>4</v>
      </c>
      <c r="D49" s="1">
        <v>5</v>
      </c>
      <c r="E49" s="14"/>
      <c r="F49" s="12"/>
      <c r="G49" s="12"/>
      <c r="I49" s="13"/>
      <c r="J49" s="12">
        <f>C49*D49*E49</f>
        <v>0</v>
      </c>
    </row>
    <row r="50" spans="1:10" x14ac:dyDescent="0.3">
      <c r="B50" s="10" t="s">
        <v>48</v>
      </c>
      <c r="C50" s="1">
        <v>3</v>
      </c>
      <c r="D50" s="1">
        <v>5</v>
      </c>
      <c r="E50" s="14"/>
      <c r="F50" s="12"/>
      <c r="G50" s="12"/>
      <c r="I50" s="13"/>
      <c r="J50" s="12">
        <f>C50*D50*E50</f>
        <v>0</v>
      </c>
    </row>
    <row r="51" spans="1:10" x14ac:dyDescent="0.3">
      <c r="B51" s="17" t="s">
        <v>49</v>
      </c>
      <c r="C51" s="1">
        <v>1</v>
      </c>
      <c r="D51" s="1">
        <v>5</v>
      </c>
      <c r="E51" s="14"/>
      <c r="F51" s="12"/>
      <c r="G51" s="12"/>
      <c r="I51" s="13"/>
      <c r="J51" s="12">
        <f>C51*D51*E51</f>
        <v>0</v>
      </c>
    </row>
    <row r="52" spans="1:10" x14ac:dyDescent="0.3">
      <c r="B52" s="10" t="s">
        <v>50</v>
      </c>
      <c r="C52" s="1">
        <v>9</v>
      </c>
      <c r="D52" s="1">
        <v>5</v>
      </c>
      <c r="E52" s="14"/>
      <c r="F52" s="12"/>
      <c r="G52" s="12"/>
      <c r="I52" s="13"/>
      <c r="J52" s="12">
        <f>C52*D52*E52</f>
        <v>0</v>
      </c>
    </row>
    <row r="53" spans="1:10" x14ac:dyDescent="0.3">
      <c r="B53" s="10" t="s">
        <v>51</v>
      </c>
      <c r="C53" s="1">
        <v>3</v>
      </c>
      <c r="D53" s="1">
        <v>5</v>
      </c>
      <c r="E53" s="14"/>
      <c r="F53" s="12"/>
      <c r="G53" s="12"/>
      <c r="I53" s="13"/>
      <c r="J53" s="12">
        <f>C53*D53*E53</f>
        <v>0</v>
      </c>
    </row>
    <row r="54" spans="1:10" x14ac:dyDescent="0.3">
      <c r="B54" s="10" t="s">
        <v>52</v>
      </c>
      <c r="C54" s="1">
        <v>2</v>
      </c>
      <c r="D54" s="1">
        <v>5</v>
      </c>
      <c r="E54" s="14"/>
      <c r="F54" s="12"/>
      <c r="G54" s="12"/>
      <c r="I54" s="13"/>
      <c r="J54" s="12">
        <f>C54*D54*E54</f>
        <v>0</v>
      </c>
    </row>
    <row r="55" spans="1:10" x14ac:dyDescent="0.3">
      <c r="B55" s="10" t="s">
        <v>53</v>
      </c>
      <c r="C55" s="1">
        <v>4</v>
      </c>
      <c r="D55" s="1">
        <v>5</v>
      </c>
      <c r="E55" s="14"/>
      <c r="F55" s="12"/>
      <c r="G55" s="12"/>
      <c r="I55" s="13"/>
      <c r="J55" s="12">
        <f>C55*D55*E55</f>
        <v>0</v>
      </c>
    </row>
    <row r="56" spans="1:10" x14ac:dyDescent="0.3">
      <c r="B56" s="10" t="s">
        <v>54</v>
      </c>
      <c r="C56" s="1">
        <v>3</v>
      </c>
      <c r="D56" s="1">
        <v>5</v>
      </c>
      <c r="E56" s="14"/>
      <c r="F56" s="12"/>
      <c r="G56" s="12"/>
      <c r="I56" s="13"/>
      <c r="J56" s="12">
        <f>C56*D56*E56</f>
        <v>0</v>
      </c>
    </row>
    <row r="57" spans="1:10" x14ac:dyDescent="0.3">
      <c r="B57" s="10" t="s">
        <v>55</v>
      </c>
      <c r="C57" s="1">
        <v>1</v>
      </c>
      <c r="D57" s="1">
        <v>5</v>
      </c>
      <c r="E57" s="14"/>
      <c r="F57" s="12"/>
      <c r="G57" s="12"/>
      <c r="I57" s="13"/>
      <c r="J57" s="12">
        <f>C57*D57*E57</f>
        <v>0</v>
      </c>
    </row>
    <row r="58" spans="1:10" x14ac:dyDescent="0.3">
      <c r="B58" s="10" t="s">
        <v>56</v>
      </c>
      <c r="C58" s="1">
        <v>1</v>
      </c>
      <c r="D58" s="1">
        <v>5</v>
      </c>
      <c r="E58" s="14"/>
      <c r="F58" s="12"/>
      <c r="G58" s="12"/>
      <c r="I58" s="13"/>
      <c r="J58" s="12">
        <f>C58*D58*E58</f>
        <v>0</v>
      </c>
    </row>
    <row r="59" spans="1:10" x14ac:dyDescent="0.3">
      <c r="B59" s="17" t="s">
        <v>73</v>
      </c>
      <c r="C59" s="1">
        <v>3</v>
      </c>
      <c r="D59" s="1">
        <v>5</v>
      </c>
      <c r="E59" s="14"/>
      <c r="F59" s="12"/>
      <c r="G59" s="12"/>
      <c r="I59" s="13"/>
      <c r="J59" s="12"/>
    </row>
    <row r="60" spans="1:10" x14ac:dyDescent="0.3">
      <c r="B60" s="17" t="s">
        <v>72</v>
      </c>
      <c r="C60" s="1">
        <v>2</v>
      </c>
      <c r="D60" s="1">
        <v>5</v>
      </c>
      <c r="E60" s="14"/>
      <c r="F60" s="12"/>
      <c r="G60" s="12"/>
      <c r="I60" s="13"/>
      <c r="J60" s="12"/>
    </row>
    <row r="61" spans="1:10" x14ac:dyDescent="0.3">
      <c r="A61" s="9"/>
      <c r="B61" s="9" t="s">
        <v>57</v>
      </c>
      <c r="J61" s="8">
        <v>151000000</v>
      </c>
    </row>
    <row r="62" spans="1:10" x14ac:dyDescent="0.3">
      <c r="A62" s="9"/>
      <c r="B62" s="9"/>
      <c r="J62" s="8"/>
    </row>
    <row r="63" spans="1:10" x14ac:dyDescent="0.3">
      <c r="B63" s="2" t="s">
        <v>58</v>
      </c>
      <c r="C63" s="1">
        <v>1</v>
      </c>
      <c r="D63" s="1">
        <v>5</v>
      </c>
      <c r="E63" s="4">
        <v>6000000</v>
      </c>
      <c r="J63" s="15">
        <f>C63*D63*E63</f>
        <v>30000000</v>
      </c>
    </row>
    <row r="64" spans="1:10" x14ac:dyDescent="0.3">
      <c r="B64" s="9" t="s">
        <v>59</v>
      </c>
      <c r="J64" s="7">
        <f>J63</f>
        <v>30000000</v>
      </c>
    </row>
    <row r="65" spans="2:10" x14ac:dyDescent="0.3">
      <c r="B65" s="9"/>
      <c r="J65" s="7"/>
    </row>
    <row r="66" spans="2:10" x14ac:dyDescent="0.3">
      <c r="B66" s="2" t="s">
        <v>60</v>
      </c>
      <c r="J66" s="4"/>
    </row>
    <row r="67" spans="2:10" x14ac:dyDescent="0.3">
      <c r="B67" s="10" t="s">
        <v>61</v>
      </c>
      <c r="C67" s="1">
        <v>1</v>
      </c>
      <c r="D67" s="1">
        <v>5</v>
      </c>
      <c r="E67" s="4">
        <v>1889</v>
      </c>
      <c r="J67" s="4">
        <f>C67*D67*E67</f>
        <v>9445</v>
      </c>
    </row>
    <row r="68" spans="2:10" x14ac:dyDescent="0.3">
      <c r="B68" s="10" t="s">
        <v>62</v>
      </c>
      <c r="C68" s="1">
        <v>1</v>
      </c>
      <c r="D68" s="1">
        <v>5</v>
      </c>
      <c r="E68" s="4">
        <v>416667</v>
      </c>
      <c r="J68" s="4">
        <f>C68*D68*E68</f>
        <v>2083335</v>
      </c>
    </row>
    <row r="69" spans="2:10" x14ac:dyDescent="0.3">
      <c r="B69" s="10" t="s">
        <v>63</v>
      </c>
      <c r="C69" s="1">
        <v>1</v>
      </c>
      <c r="D69" s="1">
        <v>5</v>
      </c>
      <c r="E69" s="4">
        <v>15306</v>
      </c>
      <c r="J69" s="4">
        <f>C69*D69*E69</f>
        <v>76530</v>
      </c>
    </row>
    <row r="70" spans="2:10" x14ac:dyDescent="0.3">
      <c r="B70" s="10" t="s">
        <v>64</v>
      </c>
      <c r="C70" s="1">
        <v>2</v>
      </c>
      <c r="D70" s="1">
        <v>5</v>
      </c>
      <c r="E70" s="4">
        <v>27593</v>
      </c>
      <c r="J70" s="4">
        <f>C70*D70*E70</f>
        <v>275930</v>
      </c>
    </row>
    <row r="71" spans="2:10" x14ac:dyDescent="0.3">
      <c r="B71" s="9" t="s">
        <v>65</v>
      </c>
      <c r="J71" s="7">
        <f>SUM(J67:J70)</f>
        <v>2445240</v>
      </c>
    </row>
    <row r="72" spans="2:10" x14ac:dyDescent="0.3">
      <c r="B72" s="9"/>
      <c r="J72" s="4"/>
    </row>
    <row r="73" spans="2:10" x14ac:dyDescent="0.3">
      <c r="B73" s="9" t="s">
        <v>66</v>
      </c>
      <c r="J73" s="16">
        <f>J31+J36+J42+J61+J64+J71</f>
        <v>569382367.27499998</v>
      </c>
    </row>
    <row r="74" spans="2:10" x14ac:dyDescent="0.3">
      <c r="B74" s="9"/>
      <c r="J74" s="16"/>
    </row>
    <row r="75" spans="2:10" x14ac:dyDescent="0.3">
      <c r="B75" s="9" t="s">
        <v>67</v>
      </c>
      <c r="J75" s="16">
        <f>J73*2%</f>
        <v>11387647.3455</v>
      </c>
    </row>
    <row r="77" spans="2:10" ht="21" x14ac:dyDescent="0.4">
      <c r="B77" s="9" t="s">
        <v>68</v>
      </c>
      <c r="J77" s="20">
        <f>SUM(J73:J76)</f>
        <v>580770014.62049997</v>
      </c>
    </row>
  </sheetData>
  <mergeCells count="2">
    <mergeCell ref="B1:H1"/>
    <mergeCell ref="B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54DC9-4E1F-465C-8845-09763B130202}">
  <dimension ref="A1:F21"/>
  <sheetViews>
    <sheetView tabSelected="1" workbookViewId="0">
      <selection activeCell="D20" sqref="D20"/>
    </sheetView>
  </sheetViews>
  <sheetFormatPr defaultRowHeight="14.4" x14ac:dyDescent="0.3"/>
  <cols>
    <col min="1" max="1" width="3.33203125" style="52" bestFit="1" customWidth="1"/>
    <col min="2" max="2" width="58.88671875" style="49" bestFit="1" customWidth="1"/>
    <col min="3" max="3" width="17.33203125" style="52" bestFit="1" customWidth="1"/>
    <col min="4" max="4" width="42.5546875" style="49" bestFit="1" customWidth="1"/>
    <col min="5" max="5" width="8.88671875" style="49"/>
    <col min="6" max="6" width="15.6640625" style="49" bestFit="1" customWidth="1"/>
    <col min="7" max="256" width="8.88671875" style="49"/>
    <col min="257" max="257" width="3.33203125" style="49" bestFit="1" customWidth="1"/>
    <col min="258" max="258" width="58.88671875" style="49" bestFit="1" customWidth="1"/>
    <col min="259" max="259" width="17.33203125" style="49" bestFit="1" customWidth="1"/>
    <col min="260" max="260" width="42.5546875" style="49" bestFit="1" customWidth="1"/>
    <col min="261" max="261" width="8.88671875" style="49"/>
    <col min="262" max="262" width="15.6640625" style="49" bestFit="1" customWidth="1"/>
    <col min="263" max="512" width="8.88671875" style="49"/>
    <col min="513" max="513" width="3.33203125" style="49" bestFit="1" customWidth="1"/>
    <col min="514" max="514" width="58.88671875" style="49" bestFit="1" customWidth="1"/>
    <col min="515" max="515" width="17.33203125" style="49" bestFit="1" customWidth="1"/>
    <col min="516" max="516" width="42.5546875" style="49" bestFit="1" customWidth="1"/>
    <col min="517" max="517" width="8.88671875" style="49"/>
    <col min="518" max="518" width="15.6640625" style="49" bestFit="1" customWidth="1"/>
    <col min="519" max="768" width="8.88671875" style="49"/>
    <col min="769" max="769" width="3.33203125" style="49" bestFit="1" customWidth="1"/>
    <col min="770" max="770" width="58.88671875" style="49" bestFit="1" customWidth="1"/>
    <col min="771" max="771" width="17.33203125" style="49" bestFit="1" customWidth="1"/>
    <col min="772" max="772" width="42.5546875" style="49" bestFit="1" customWidth="1"/>
    <col min="773" max="773" width="8.88671875" style="49"/>
    <col min="774" max="774" width="15.6640625" style="49" bestFit="1" customWidth="1"/>
    <col min="775" max="1024" width="8.88671875" style="49"/>
    <col min="1025" max="1025" width="3.33203125" style="49" bestFit="1" customWidth="1"/>
    <col min="1026" max="1026" width="58.88671875" style="49" bestFit="1" customWidth="1"/>
    <col min="1027" max="1027" width="17.33203125" style="49" bestFit="1" customWidth="1"/>
    <col min="1028" max="1028" width="42.5546875" style="49" bestFit="1" customWidth="1"/>
    <col min="1029" max="1029" width="8.88671875" style="49"/>
    <col min="1030" max="1030" width="15.6640625" style="49" bestFit="1" customWidth="1"/>
    <col min="1031" max="1280" width="8.88671875" style="49"/>
    <col min="1281" max="1281" width="3.33203125" style="49" bestFit="1" customWidth="1"/>
    <col min="1282" max="1282" width="58.88671875" style="49" bestFit="1" customWidth="1"/>
    <col min="1283" max="1283" width="17.33203125" style="49" bestFit="1" customWidth="1"/>
    <col min="1284" max="1284" width="42.5546875" style="49" bestFit="1" customWidth="1"/>
    <col min="1285" max="1285" width="8.88671875" style="49"/>
    <col min="1286" max="1286" width="15.6640625" style="49" bestFit="1" customWidth="1"/>
    <col min="1287" max="1536" width="8.88671875" style="49"/>
    <col min="1537" max="1537" width="3.33203125" style="49" bestFit="1" customWidth="1"/>
    <col min="1538" max="1538" width="58.88671875" style="49" bestFit="1" customWidth="1"/>
    <col min="1539" max="1539" width="17.33203125" style="49" bestFit="1" customWidth="1"/>
    <col min="1540" max="1540" width="42.5546875" style="49" bestFit="1" customWidth="1"/>
    <col min="1541" max="1541" width="8.88671875" style="49"/>
    <col min="1542" max="1542" width="15.6640625" style="49" bestFit="1" customWidth="1"/>
    <col min="1543" max="1792" width="8.88671875" style="49"/>
    <col min="1793" max="1793" width="3.33203125" style="49" bestFit="1" customWidth="1"/>
    <col min="1794" max="1794" width="58.88671875" style="49" bestFit="1" customWidth="1"/>
    <col min="1795" max="1795" width="17.33203125" style="49" bestFit="1" customWidth="1"/>
    <col min="1796" max="1796" width="42.5546875" style="49" bestFit="1" customWidth="1"/>
    <col min="1797" max="1797" width="8.88671875" style="49"/>
    <col min="1798" max="1798" width="15.6640625" style="49" bestFit="1" customWidth="1"/>
    <col min="1799" max="2048" width="8.88671875" style="49"/>
    <col min="2049" max="2049" width="3.33203125" style="49" bestFit="1" customWidth="1"/>
    <col min="2050" max="2050" width="58.88671875" style="49" bestFit="1" customWidth="1"/>
    <col min="2051" max="2051" width="17.33203125" style="49" bestFit="1" customWidth="1"/>
    <col min="2052" max="2052" width="42.5546875" style="49" bestFit="1" customWidth="1"/>
    <col min="2053" max="2053" width="8.88671875" style="49"/>
    <col min="2054" max="2054" width="15.6640625" style="49" bestFit="1" customWidth="1"/>
    <col min="2055" max="2304" width="8.88671875" style="49"/>
    <col min="2305" max="2305" width="3.33203125" style="49" bestFit="1" customWidth="1"/>
    <col min="2306" max="2306" width="58.88671875" style="49" bestFit="1" customWidth="1"/>
    <col min="2307" max="2307" width="17.33203125" style="49" bestFit="1" customWidth="1"/>
    <col min="2308" max="2308" width="42.5546875" style="49" bestFit="1" customWidth="1"/>
    <col min="2309" max="2309" width="8.88671875" style="49"/>
    <col min="2310" max="2310" width="15.6640625" style="49" bestFit="1" customWidth="1"/>
    <col min="2311" max="2560" width="8.88671875" style="49"/>
    <col min="2561" max="2561" width="3.33203125" style="49" bestFit="1" customWidth="1"/>
    <col min="2562" max="2562" width="58.88671875" style="49" bestFit="1" customWidth="1"/>
    <col min="2563" max="2563" width="17.33203125" style="49" bestFit="1" customWidth="1"/>
    <col min="2564" max="2564" width="42.5546875" style="49" bestFit="1" customWidth="1"/>
    <col min="2565" max="2565" width="8.88671875" style="49"/>
    <col min="2566" max="2566" width="15.6640625" style="49" bestFit="1" customWidth="1"/>
    <col min="2567" max="2816" width="8.88671875" style="49"/>
    <col min="2817" max="2817" width="3.33203125" style="49" bestFit="1" customWidth="1"/>
    <col min="2818" max="2818" width="58.88671875" style="49" bestFit="1" customWidth="1"/>
    <col min="2819" max="2819" width="17.33203125" style="49" bestFit="1" customWidth="1"/>
    <col min="2820" max="2820" width="42.5546875" style="49" bestFit="1" customWidth="1"/>
    <col min="2821" max="2821" width="8.88671875" style="49"/>
    <col min="2822" max="2822" width="15.6640625" style="49" bestFit="1" customWidth="1"/>
    <col min="2823" max="3072" width="8.88671875" style="49"/>
    <col min="3073" max="3073" width="3.33203125" style="49" bestFit="1" customWidth="1"/>
    <col min="3074" max="3074" width="58.88671875" style="49" bestFit="1" customWidth="1"/>
    <col min="3075" max="3075" width="17.33203125" style="49" bestFit="1" customWidth="1"/>
    <col min="3076" max="3076" width="42.5546875" style="49" bestFit="1" customWidth="1"/>
    <col min="3077" max="3077" width="8.88671875" style="49"/>
    <col min="3078" max="3078" width="15.6640625" style="49" bestFit="1" customWidth="1"/>
    <col min="3079" max="3328" width="8.88671875" style="49"/>
    <col min="3329" max="3329" width="3.33203125" style="49" bestFit="1" customWidth="1"/>
    <col min="3330" max="3330" width="58.88671875" style="49" bestFit="1" customWidth="1"/>
    <col min="3331" max="3331" width="17.33203125" style="49" bestFit="1" customWidth="1"/>
    <col min="3332" max="3332" width="42.5546875" style="49" bestFit="1" customWidth="1"/>
    <col min="3333" max="3333" width="8.88671875" style="49"/>
    <col min="3334" max="3334" width="15.6640625" style="49" bestFit="1" customWidth="1"/>
    <col min="3335" max="3584" width="8.88671875" style="49"/>
    <col min="3585" max="3585" width="3.33203125" style="49" bestFit="1" customWidth="1"/>
    <col min="3586" max="3586" width="58.88671875" style="49" bestFit="1" customWidth="1"/>
    <col min="3587" max="3587" width="17.33203125" style="49" bestFit="1" customWidth="1"/>
    <col min="3588" max="3588" width="42.5546875" style="49" bestFit="1" customWidth="1"/>
    <col min="3589" max="3589" width="8.88671875" style="49"/>
    <col min="3590" max="3590" width="15.6640625" style="49" bestFit="1" customWidth="1"/>
    <col min="3591" max="3840" width="8.88671875" style="49"/>
    <col min="3841" max="3841" width="3.33203125" style="49" bestFit="1" customWidth="1"/>
    <col min="3842" max="3842" width="58.88671875" style="49" bestFit="1" customWidth="1"/>
    <col min="3843" max="3843" width="17.33203125" style="49" bestFit="1" customWidth="1"/>
    <col min="3844" max="3844" width="42.5546875" style="49" bestFit="1" customWidth="1"/>
    <col min="3845" max="3845" width="8.88671875" style="49"/>
    <col min="3846" max="3846" width="15.6640625" style="49" bestFit="1" customWidth="1"/>
    <col min="3847" max="4096" width="8.88671875" style="49"/>
    <col min="4097" max="4097" width="3.33203125" style="49" bestFit="1" customWidth="1"/>
    <col min="4098" max="4098" width="58.88671875" style="49" bestFit="1" customWidth="1"/>
    <col min="4099" max="4099" width="17.33203125" style="49" bestFit="1" customWidth="1"/>
    <col min="4100" max="4100" width="42.5546875" style="49" bestFit="1" customWidth="1"/>
    <col min="4101" max="4101" width="8.88671875" style="49"/>
    <col min="4102" max="4102" width="15.6640625" style="49" bestFit="1" customWidth="1"/>
    <col min="4103" max="4352" width="8.88671875" style="49"/>
    <col min="4353" max="4353" width="3.33203125" style="49" bestFit="1" customWidth="1"/>
    <col min="4354" max="4354" width="58.88671875" style="49" bestFit="1" customWidth="1"/>
    <col min="4355" max="4355" width="17.33203125" style="49" bestFit="1" customWidth="1"/>
    <col min="4356" max="4356" width="42.5546875" style="49" bestFit="1" customWidth="1"/>
    <col min="4357" max="4357" width="8.88671875" style="49"/>
    <col min="4358" max="4358" width="15.6640625" style="49" bestFit="1" customWidth="1"/>
    <col min="4359" max="4608" width="8.88671875" style="49"/>
    <col min="4609" max="4609" width="3.33203125" style="49" bestFit="1" customWidth="1"/>
    <col min="4610" max="4610" width="58.88671875" style="49" bestFit="1" customWidth="1"/>
    <col min="4611" max="4611" width="17.33203125" style="49" bestFit="1" customWidth="1"/>
    <col min="4612" max="4612" width="42.5546875" style="49" bestFit="1" customWidth="1"/>
    <col min="4613" max="4613" width="8.88671875" style="49"/>
    <col min="4614" max="4614" width="15.6640625" style="49" bestFit="1" customWidth="1"/>
    <col min="4615" max="4864" width="8.88671875" style="49"/>
    <col min="4865" max="4865" width="3.33203125" style="49" bestFit="1" customWidth="1"/>
    <col min="4866" max="4866" width="58.88671875" style="49" bestFit="1" customWidth="1"/>
    <col min="4867" max="4867" width="17.33203125" style="49" bestFit="1" customWidth="1"/>
    <col min="4868" max="4868" width="42.5546875" style="49" bestFit="1" customWidth="1"/>
    <col min="4869" max="4869" width="8.88671875" style="49"/>
    <col min="4870" max="4870" width="15.6640625" style="49" bestFit="1" customWidth="1"/>
    <col min="4871" max="5120" width="8.88671875" style="49"/>
    <col min="5121" max="5121" width="3.33203125" style="49" bestFit="1" customWidth="1"/>
    <col min="5122" max="5122" width="58.88671875" style="49" bestFit="1" customWidth="1"/>
    <col min="5123" max="5123" width="17.33203125" style="49" bestFit="1" customWidth="1"/>
    <col min="5124" max="5124" width="42.5546875" style="49" bestFit="1" customWidth="1"/>
    <col min="5125" max="5125" width="8.88671875" style="49"/>
    <col min="5126" max="5126" width="15.6640625" style="49" bestFit="1" customWidth="1"/>
    <col min="5127" max="5376" width="8.88671875" style="49"/>
    <col min="5377" max="5377" width="3.33203125" style="49" bestFit="1" customWidth="1"/>
    <col min="5378" max="5378" width="58.88671875" style="49" bestFit="1" customWidth="1"/>
    <col min="5379" max="5379" width="17.33203125" style="49" bestFit="1" customWidth="1"/>
    <col min="5380" max="5380" width="42.5546875" style="49" bestFit="1" customWidth="1"/>
    <col min="5381" max="5381" width="8.88671875" style="49"/>
    <col min="5382" max="5382" width="15.6640625" style="49" bestFit="1" customWidth="1"/>
    <col min="5383" max="5632" width="8.88671875" style="49"/>
    <col min="5633" max="5633" width="3.33203125" style="49" bestFit="1" customWidth="1"/>
    <col min="5634" max="5634" width="58.88671875" style="49" bestFit="1" customWidth="1"/>
    <col min="5635" max="5635" width="17.33203125" style="49" bestFit="1" customWidth="1"/>
    <col min="5636" max="5636" width="42.5546875" style="49" bestFit="1" customWidth="1"/>
    <col min="5637" max="5637" width="8.88671875" style="49"/>
    <col min="5638" max="5638" width="15.6640625" style="49" bestFit="1" customWidth="1"/>
    <col min="5639" max="5888" width="8.88671875" style="49"/>
    <col min="5889" max="5889" width="3.33203125" style="49" bestFit="1" customWidth="1"/>
    <col min="5890" max="5890" width="58.88671875" style="49" bestFit="1" customWidth="1"/>
    <col min="5891" max="5891" width="17.33203125" style="49" bestFit="1" customWidth="1"/>
    <col min="5892" max="5892" width="42.5546875" style="49" bestFit="1" customWidth="1"/>
    <col min="5893" max="5893" width="8.88671875" style="49"/>
    <col min="5894" max="5894" width="15.6640625" style="49" bestFit="1" customWidth="1"/>
    <col min="5895" max="6144" width="8.88671875" style="49"/>
    <col min="6145" max="6145" width="3.33203125" style="49" bestFit="1" customWidth="1"/>
    <col min="6146" max="6146" width="58.88671875" style="49" bestFit="1" customWidth="1"/>
    <col min="6147" max="6147" width="17.33203125" style="49" bestFit="1" customWidth="1"/>
    <col min="6148" max="6148" width="42.5546875" style="49" bestFit="1" customWidth="1"/>
    <col min="6149" max="6149" width="8.88671875" style="49"/>
    <col min="6150" max="6150" width="15.6640625" style="49" bestFit="1" customWidth="1"/>
    <col min="6151" max="6400" width="8.88671875" style="49"/>
    <col min="6401" max="6401" width="3.33203125" style="49" bestFit="1" customWidth="1"/>
    <col min="6402" max="6402" width="58.88671875" style="49" bestFit="1" customWidth="1"/>
    <col min="6403" max="6403" width="17.33203125" style="49" bestFit="1" customWidth="1"/>
    <col min="6404" max="6404" width="42.5546875" style="49" bestFit="1" customWidth="1"/>
    <col min="6405" max="6405" width="8.88671875" style="49"/>
    <col min="6406" max="6406" width="15.6640625" style="49" bestFit="1" customWidth="1"/>
    <col min="6407" max="6656" width="8.88671875" style="49"/>
    <col min="6657" max="6657" width="3.33203125" style="49" bestFit="1" customWidth="1"/>
    <col min="6658" max="6658" width="58.88671875" style="49" bestFit="1" customWidth="1"/>
    <col min="6659" max="6659" width="17.33203125" style="49" bestFit="1" customWidth="1"/>
    <col min="6660" max="6660" width="42.5546875" style="49" bestFit="1" customWidth="1"/>
    <col min="6661" max="6661" width="8.88671875" style="49"/>
    <col min="6662" max="6662" width="15.6640625" style="49" bestFit="1" customWidth="1"/>
    <col min="6663" max="6912" width="8.88671875" style="49"/>
    <col min="6913" max="6913" width="3.33203125" style="49" bestFit="1" customWidth="1"/>
    <col min="6914" max="6914" width="58.88671875" style="49" bestFit="1" customWidth="1"/>
    <col min="6915" max="6915" width="17.33203125" style="49" bestFit="1" customWidth="1"/>
    <col min="6916" max="6916" width="42.5546875" style="49" bestFit="1" customWidth="1"/>
    <col min="6917" max="6917" width="8.88671875" style="49"/>
    <col min="6918" max="6918" width="15.6640625" style="49" bestFit="1" customWidth="1"/>
    <col min="6919" max="7168" width="8.88671875" style="49"/>
    <col min="7169" max="7169" width="3.33203125" style="49" bestFit="1" customWidth="1"/>
    <col min="7170" max="7170" width="58.88671875" style="49" bestFit="1" customWidth="1"/>
    <col min="7171" max="7171" width="17.33203125" style="49" bestFit="1" customWidth="1"/>
    <col min="7172" max="7172" width="42.5546875" style="49" bestFit="1" customWidth="1"/>
    <col min="7173" max="7173" width="8.88671875" style="49"/>
    <col min="7174" max="7174" width="15.6640625" style="49" bestFit="1" customWidth="1"/>
    <col min="7175" max="7424" width="8.88671875" style="49"/>
    <col min="7425" max="7425" width="3.33203125" style="49" bestFit="1" customWidth="1"/>
    <col min="7426" max="7426" width="58.88671875" style="49" bestFit="1" customWidth="1"/>
    <col min="7427" max="7427" width="17.33203125" style="49" bestFit="1" customWidth="1"/>
    <col min="7428" max="7428" width="42.5546875" style="49" bestFit="1" customWidth="1"/>
    <col min="7429" max="7429" width="8.88671875" style="49"/>
    <col min="7430" max="7430" width="15.6640625" style="49" bestFit="1" customWidth="1"/>
    <col min="7431" max="7680" width="8.88671875" style="49"/>
    <col min="7681" max="7681" width="3.33203125" style="49" bestFit="1" customWidth="1"/>
    <col min="7682" max="7682" width="58.88671875" style="49" bestFit="1" customWidth="1"/>
    <col min="7683" max="7683" width="17.33203125" style="49" bestFit="1" customWidth="1"/>
    <col min="7684" max="7684" width="42.5546875" style="49" bestFit="1" customWidth="1"/>
    <col min="7685" max="7685" width="8.88671875" style="49"/>
    <col min="7686" max="7686" width="15.6640625" style="49" bestFit="1" customWidth="1"/>
    <col min="7687" max="7936" width="8.88671875" style="49"/>
    <col min="7937" max="7937" width="3.33203125" style="49" bestFit="1" customWidth="1"/>
    <col min="7938" max="7938" width="58.88671875" style="49" bestFit="1" customWidth="1"/>
    <col min="7939" max="7939" width="17.33203125" style="49" bestFit="1" customWidth="1"/>
    <col min="7940" max="7940" width="42.5546875" style="49" bestFit="1" customWidth="1"/>
    <col min="7941" max="7941" width="8.88671875" style="49"/>
    <col min="7942" max="7942" width="15.6640625" style="49" bestFit="1" customWidth="1"/>
    <col min="7943" max="8192" width="8.88671875" style="49"/>
    <col min="8193" max="8193" width="3.33203125" style="49" bestFit="1" customWidth="1"/>
    <col min="8194" max="8194" width="58.88671875" style="49" bestFit="1" customWidth="1"/>
    <col min="8195" max="8195" width="17.33203125" style="49" bestFit="1" customWidth="1"/>
    <col min="8196" max="8196" width="42.5546875" style="49" bestFit="1" customWidth="1"/>
    <col min="8197" max="8197" width="8.88671875" style="49"/>
    <col min="8198" max="8198" width="15.6640625" style="49" bestFit="1" customWidth="1"/>
    <col min="8199" max="8448" width="8.88671875" style="49"/>
    <col min="8449" max="8449" width="3.33203125" style="49" bestFit="1" customWidth="1"/>
    <col min="8450" max="8450" width="58.88671875" style="49" bestFit="1" customWidth="1"/>
    <col min="8451" max="8451" width="17.33203125" style="49" bestFit="1" customWidth="1"/>
    <col min="8452" max="8452" width="42.5546875" style="49" bestFit="1" customWidth="1"/>
    <col min="8453" max="8453" width="8.88671875" style="49"/>
    <col min="8454" max="8454" width="15.6640625" style="49" bestFit="1" customWidth="1"/>
    <col min="8455" max="8704" width="8.88671875" style="49"/>
    <col min="8705" max="8705" width="3.33203125" style="49" bestFit="1" customWidth="1"/>
    <col min="8706" max="8706" width="58.88671875" style="49" bestFit="1" customWidth="1"/>
    <col min="8707" max="8707" width="17.33203125" style="49" bestFit="1" customWidth="1"/>
    <col min="8708" max="8708" width="42.5546875" style="49" bestFit="1" customWidth="1"/>
    <col min="8709" max="8709" width="8.88671875" style="49"/>
    <col min="8710" max="8710" width="15.6640625" style="49" bestFit="1" customWidth="1"/>
    <col min="8711" max="8960" width="8.88671875" style="49"/>
    <col min="8961" max="8961" width="3.33203125" style="49" bestFit="1" customWidth="1"/>
    <col min="8962" max="8962" width="58.88671875" style="49" bestFit="1" customWidth="1"/>
    <col min="8963" max="8963" width="17.33203125" style="49" bestFit="1" customWidth="1"/>
    <col min="8964" max="8964" width="42.5546875" style="49" bestFit="1" customWidth="1"/>
    <col min="8965" max="8965" width="8.88671875" style="49"/>
    <col min="8966" max="8966" width="15.6640625" style="49" bestFit="1" customWidth="1"/>
    <col min="8967" max="9216" width="8.88671875" style="49"/>
    <col min="9217" max="9217" width="3.33203125" style="49" bestFit="1" customWidth="1"/>
    <col min="9218" max="9218" width="58.88671875" style="49" bestFit="1" customWidth="1"/>
    <col min="9219" max="9219" width="17.33203125" style="49" bestFit="1" customWidth="1"/>
    <col min="9220" max="9220" width="42.5546875" style="49" bestFit="1" customWidth="1"/>
    <col min="9221" max="9221" width="8.88671875" style="49"/>
    <col min="9222" max="9222" width="15.6640625" style="49" bestFit="1" customWidth="1"/>
    <col min="9223" max="9472" width="8.88671875" style="49"/>
    <col min="9473" max="9473" width="3.33203125" style="49" bestFit="1" customWidth="1"/>
    <col min="9474" max="9474" width="58.88671875" style="49" bestFit="1" customWidth="1"/>
    <col min="9475" max="9475" width="17.33203125" style="49" bestFit="1" customWidth="1"/>
    <col min="9476" max="9476" width="42.5546875" style="49" bestFit="1" customWidth="1"/>
    <col min="9477" max="9477" width="8.88671875" style="49"/>
    <col min="9478" max="9478" width="15.6640625" style="49" bestFit="1" customWidth="1"/>
    <col min="9479" max="9728" width="8.88671875" style="49"/>
    <col min="9729" max="9729" width="3.33203125" style="49" bestFit="1" customWidth="1"/>
    <col min="9730" max="9730" width="58.88671875" style="49" bestFit="1" customWidth="1"/>
    <col min="9731" max="9731" width="17.33203125" style="49" bestFit="1" customWidth="1"/>
    <col min="9732" max="9732" width="42.5546875" style="49" bestFit="1" customWidth="1"/>
    <col min="9733" max="9733" width="8.88671875" style="49"/>
    <col min="9734" max="9734" width="15.6640625" style="49" bestFit="1" customWidth="1"/>
    <col min="9735" max="9984" width="8.88671875" style="49"/>
    <col min="9985" max="9985" width="3.33203125" style="49" bestFit="1" customWidth="1"/>
    <col min="9986" max="9986" width="58.88671875" style="49" bestFit="1" customWidth="1"/>
    <col min="9987" max="9987" width="17.33203125" style="49" bestFit="1" customWidth="1"/>
    <col min="9988" max="9988" width="42.5546875" style="49" bestFit="1" customWidth="1"/>
    <col min="9989" max="9989" width="8.88671875" style="49"/>
    <col min="9990" max="9990" width="15.6640625" style="49" bestFit="1" customWidth="1"/>
    <col min="9991" max="10240" width="8.88671875" style="49"/>
    <col min="10241" max="10241" width="3.33203125" style="49" bestFit="1" customWidth="1"/>
    <col min="10242" max="10242" width="58.88671875" style="49" bestFit="1" customWidth="1"/>
    <col min="10243" max="10243" width="17.33203125" style="49" bestFit="1" customWidth="1"/>
    <col min="10244" max="10244" width="42.5546875" style="49" bestFit="1" customWidth="1"/>
    <col min="10245" max="10245" width="8.88671875" style="49"/>
    <col min="10246" max="10246" width="15.6640625" style="49" bestFit="1" customWidth="1"/>
    <col min="10247" max="10496" width="8.88671875" style="49"/>
    <col min="10497" max="10497" width="3.33203125" style="49" bestFit="1" customWidth="1"/>
    <col min="10498" max="10498" width="58.88671875" style="49" bestFit="1" customWidth="1"/>
    <col min="10499" max="10499" width="17.33203125" style="49" bestFit="1" customWidth="1"/>
    <col min="10500" max="10500" width="42.5546875" style="49" bestFit="1" customWidth="1"/>
    <col min="10501" max="10501" width="8.88671875" style="49"/>
    <col min="10502" max="10502" width="15.6640625" style="49" bestFit="1" customWidth="1"/>
    <col min="10503" max="10752" width="8.88671875" style="49"/>
    <col min="10753" max="10753" width="3.33203125" style="49" bestFit="1" customWidth="1"/>
    <col min="10754" max="10754" width="58.88671875" style="49" bestFit="1" customWidth="1"/>
    <col min="10755" max="10755" width="17.33203125" style="49" bestFit="1" customWidth="1"/>
    <col min="10756" max="10756" width="42.5546875" style="49" bestFit="1" customWidth="1"/>
    <col min="10757" max="10757" width="8.88671875" style="49"/>
    <col min="10758" max="10758" width="15.6640625" style="49" bestFit="1" customWidth="1"/>
    <col min="10759" max="11008" width="8.88671875" style="49"/>
    <col min="11009" max="11009" width="3.33203125" style="49" bestFit="1" customWidth="1"/>
    <col min="11010" max="11010" width="58.88671875" style="49" bestFit="1" customWidth="1"/>
    <col min="11011" max="11011" width="17.33203125" style="49" bestFit="1" customWidth="1"/>
    <col min="11012" max="11012" width="42.5546875" style="49" bestFit="1" customWidth="1"/>
    <col min="11013" max="11013" width="8.88671875" style="49"/>
    <col min="11014" max="11014" width="15.6640625" style="49" bestFit="1" customWidth="1"/>
    <col min="11015" max="11264" width="8.88671875" style="49"/>
    <col min="11265" max="11265" width="3.33203125" style="49" bestFit="1" customWidth="1"/>
    <col min="11266" max="11266" width="58.88671875" style="49" bestFit="1" customWidth="1"/>
    <col min="11267" max="11267" width="17.33203125" style="49" bestFit="1" customWidth="1"/>
    <col min="11268" max="11268" width="42.5546875" style="49" bestFit="1" customWidth="1"/>
    <col min="11269" max="11269" width="8.88671875" style="49"/>
    <col min="11270" max="11270" width="15.6640625" style="49" bestFit="1" customWidth="1"/>
    <col min="11271" max="11520" width="8.88671875" style="49"/>
    <col min="11521" max="11521" width="3.33203125" style="49" bestFit="1" customWidth="1"/>
    <col min="11522" max="11522" width="58.88671875" style="49" bestFit="1" customWidth="1"/>
    <col min="11523" max="11523" width="17.33203125" style="49" bestFit="1" customWidth="1"/>
    <col min="11524" max="11524" width="42.5546875" style="49" bestFit="1" customWidth="1"/>
    <col min="11525" max="11525" width="8.88671875" style="49"/>
    <col min="11526" max="11526" width="15.6640625" style="49" bestFit="1" customWidth="1"/>
    <col min="11527" max="11776" width="8.88671875" style="49"/>
    <col min="11777" max="11777" width="3.33203125" style="49" bestFit="1" customWidth="1"/>
    <col min="11778" max="11778" width="58.88671875" style="49" bestFit="1" customWidth="1"/>
    <col min="11779" max="11779" width="17.33203125" style="49" bestFit="1" customWidth="1"/>
    <col min="11780" max="11780" width="42.5546875" style="49" bestFit="1" customWidth="1"/>
    <col min="11781" max="11781" width="8.88671875" style="49"/>
    <col min="11782" max="11782" width="15.6640625" style="49" bestFit="1" customWidth="1"/>
    <col min="11783" max="12032" width="8.88671875" style="49"/>
    <col min="12033" max="12033" width="3.33203125" style="49" bestFit="1" customWidth="1"/>
    <col min="12034" max="12034" width="58.88671875" style="49" bestFit="1" customWidth="1"/>
    <col min="12035" max="12035" width="17.33203125" style="49" bestFit="1" customWidth="1"/>
    <col min="12036" max="12036" width="42.5546875" style="49" bestFit="1" customWidth="1"/>
    <col min="12037" max="12037" width="8.88671875" style="49"/>
    <col min="12038" max="12038" width="15.6640625" style="49" bestFit="1" customWidth="1"/>
    <col min="12039" max="12288" width="8.88671875" style="49"/>
    <col min="12289" max="12289" width="3.33203125" style="49" bestFit="1" customWidth="1"/>
    <col min="12290" max="12290" width="58.88671875" style="49" bestFit="1" customWidth="1"/>
    <col min="12291" max="12291" width="17.33203125" style="49" bestFit="1" customWidth="1"/>
    <col min="12292" max="12292" width="42.5546875" style="49" bestFit="1" customWidth="1"/>
    <col min="12293" max="12293" width="8.88671875" style="49"/>
    <col min="12294" max="12294" width="15.6640625" style="49" bestFit="1" customWidth="1"/>
    <col min="12295" max="12544" width="8.88671875" style="49"/>
    <col min="12545" max="12545" width="3.33203125" style="49" bestFit="1" customWidth="1"/>
    <col min="12546" max="12546" width="58.88671875" style="49" bestFit="1" customWidth="1"/>
    <col min="12547" max="12547" width="17.33203125" style="49" bestFit="1" customWidth="1"/>
    <col min="12548" max="12548" width="42.5546875" style="49" bestFit="1" customWidth="1"/>
    <col min="12549" max="12549" width="8.88671875" style="49"/>
    <col min="12550" max="12550" width="15.6640625" style="49" bestFit="1" customWidth="1"/>
    <col min="12551" max="12800" width="8.88671875" style="49"/>
    <col min="12801" max="12801" width="3.33203125" style="49" bestFit="1" customWidth="1"/>
    <col min="12802" max="12802" width="58.88671875" style="49" bestFit="1" customWidth="1"/>
    <col min="12803" max="12803" width="17.33203125" style="49" bestFit="1" customWidth="1"/>
    <col min="12804" max="12804" width="42.5546875" style="49" bestFit="1" customWidth="1"/>
    <col min="12805" max="12805" width="8.88671875" style="49"/>
    <col min="12806" max="12806" width="15.6640625" style="49" bestFit="1" customWidth="1"/>
    <col min="12807" max="13056" width="8.88671875" style="49"/>
    <col min="13057" max="13057" width="3.33203125" style="49" bestFit="1" customWidth="1"/>
    <col min="13058" max="13058" width="58.88671875" style="49" bestFit="1" customWidth="1"/>
    <col min="13059" max="13059" width="17.33203125" style="49" bestFit="1" customWidth="1"/>
    <col min="13060" max="13060" width="42.5546875" style="49" bestFit="1" customWidth="1"/>
    <col min="13061" max="13061" width="8.88671875" style="49"/>
    <col min="13062" max="13062" width="15.6640625" style="49" bestFit="1" customWidth="1"/>
    <col min="13063" max="13312" width="8.88671875" style="49"/>
    <col min="13313" max="13313" width="3.33203125" style="49" bestFit="1" customWidth="1"/>
    <col min="13314" max="13314" width="58.88671875" style="49" bestFit="1" customWidth="1"/>
    <col min="13315" max="13315" width="17.33203125" style="49" bestFit="1" customWidth="1"/>
    <col min="13316" max="13316" width="42.5546875" style="49" bestFit="1" customWidth="1"/>
    <col min="13317" max="13317" width="8.88671875" style="49"/>
    <col min="13318" max="13318" width="15.6640625" style="49" bestFit="1" customWidth="1"/>
    <col min="13319" max="13568" width="8.88671875" style="49"/>
    <col min="13569" max="13569" width="3.33203125" style="49" bestFit="1" customWidth="1"/>
    <col min="13570" max="13570" width="58.88671875" style="49" bestFit="1" customWidth="1"/>
    <col min="13571" max="13571" width="17.33203125" style="49" bestFit="1" customWidth="1"/>
    <col min="13572" max="13572" width="42.5546875" style="49" bestFit="1" customWidth="1"/>
    <col min="13573" max="13573" width="8.88671875" style="49"/>
    <col min="13574" max="13574" width="15.6640625" style="49" bestFit="1" customWidth="1"/>
    <col min="13575" max="13824" width="8.88671875" style="49"/>
    <col min="13825" max="13825" width="3.33203125" style="49" bestFit="1" customWidth="1"/>
    <col min="13826" max="13826" width="58.88671875" style="49" bestFit="1" customWidth="1"/>
    <col min="13827" max="13827" width="17.33203125" style="49" bestFit="1" customWidth="1"/>
    <col min="13828" max="13828" width="42.5546875" style="49" bestFit="1" customWidth="1"/>
    <col min="13829" max="13829" width="8.88671875" style="49"/>
    <col min="13830" max="13830" width="15.6640625" style="49" bestFit="1" customWidth="1"/>
    <col min="13831" max="14080" width="8.88671875" style="49"/>
    <col min="14081" max="14081" width="3.33203125" style="49" bestFit="1" customWidth="1"/>
    <col min="14082" max="14082" width="58.88671875" style="49" bestFit="1" customWidth="1"/>
    <col min="14083" max="14083" width="17.33203125" style="49" bestFit="1" customWidth="1"/>
    <col min="14084" max="14084" width="42.5546875" style="49" bestFit="1" customWidth="1"/>
    <col min="14085" max="14085" width="8.88671875" style="49"/>
    <col min="14086" max="14086" width="15.6640625" style="49" bestFit="1" customWidth="1"/>
    <col min="14087" max="14336" width="8.88671875" style="49"/>
    <col min="14337" max="14337" width="3.33203125" style="49" bestFit="1" customWidth="1"/>
    <col min="14338" max="14338" width="58.88671875" style="49" bestFit="1" customWidth="1"/>
    <col min="14339" max="14339" width="17.33203125" style="49" bestFit="1" customWidth="1"/>
    <col min="14340" max="14340" width="42.5546875" style="49" bestFit="1" customWidth="1"/>
    <col min="14341" max="14341" width="8.88671875" style="49"/>
    <col min="14342" max="14342" width="15.6640625" style="49" bestFit="1" customWidth="1"/>
    <col min="14343" max="14592" width="8.88671875" style="49"/>
    <col min="14593" max="14593" width="3.33203125" style="49" bestFit="1" customWidth="1"/>
    <col min="14594" max="14594" width="58.88671875" style="49" bestFit="1" customWidth="1"/>
    <col min="14595" max="14595" width="17.33203125" style="49" bestFit="1" customWidth="1"/>
    <col min="14596" max="14596" width="42.5546875" style="49" bestFit="1" customWidth="1"/>
    <col min="14597" max="14597" width="8.88671875" style="49"/>
    <col min="14598" max="14598" width="15.6640625" style="49" bestFit="1" customWidth="1"/>
    <col min="14599" max="14848" width="8.88671875" style="49"/>
    <col min="14849" max="14849" width="3.33203125" style="49" bestFit="1" customWidth="1"/>
    <col min="14850" max="14850" width="58.88671875" style="49" bestFit="1" customWidth="1"/>
    <col min="14851" max="14851" width="17.33203125" style="49" bestFit="1" customWidth="1"/>
    <col min="14852" max="14852" width="42.5546875" style="49" bestFit="1" customWidth="1"/>
    <col min="14853" max="14853" width="8.88671875" style="49"/>
    <col min="14854" max="14854" width="15.6640625" style="49" bestFit="1" customWidth="1"/>
    <col min="14855" max="15104" width="8.88671875" style="49"/>
    <col min="15105" max="15105" width="3.33203125" style="49" bestFit="1" customWidth="1"/>
    <col min="15106" max="15106" width="58.88671875" style="49" bestFit="1" customWidth="1"/>
    <col min="15107" max="15107" width="17.33203125" style="49" bestFit="1" customWidth="1"/>
    <col min="15108" max="15108" width="42.5546875" style="49" bestFit="1" customWidth="1"/>
    <col min="15109" max="15109" width="8.88671875" style="49"/>
    <col min="15110" max="15110" width="15.6640625" style="49" bestFit="1" customWidth="1"/>
    <col min="15111" max="15360" width="8.88671875" style="49"/>
    <col min="15361" max="15361" width="3.33203125" style="49" bestFit="1" customWidth="1"/>
    <col min="15362" max="15362" width="58.88671875" style="49" bestFit="1" customWidth="1"/>
    <col min="15363" max="15363" width="17.33203125" style="49" bestFit="1" customWidth="1"/>
    <col min="15364" max="15364" width="42.5546875" style="49" bestFit="1" customWidth="1"/>
    <col min="15365" max="15365" width="8.88671875" style="49"/>
    <col min="15366" max="15366" width="15.6640625" style="49" bestFit="1" customWidth="1"/>
    <col min="15367" max="15616" width="8.88671875" style="49"/>
    <col min="15617" max="15617" width="3.33203125" style="49" bestFit="1" customWidth="1"/>
    <col min="15618" max="15618" width="58.88671875" style="49" bestFit="1" customWidth="1"/>
    <col min="15619" max="15619" width="17.33203125" style="49" bestFit="1" customWidth="1"/>
    <col min="15620" max="15620" width="42.5546875" style="49" bestFit="1" customWidth="1"/>
    <col min="15621" max="15621" width="8.88671875" style="49"/>
    <col min="15622" max="15622" width="15.6640625" style="49" bestFit="1" customWidth="1"/>
    <col min="15623" max="15872" width="8.88671875" style="49"/>
    <col min="15873" max="15873" width="3.33203125" style="49" bestFit="1" customWidth="1"/>
    <col min="15874" max="15874" width="58.88671875" style="49" bestFit="1" customWidth="1"/>
    <col min="15875" max="15875" width="17.33203125" style="49" bestFit="1" customWidth="1"/>
    <col min="15876" max="15876" width="42.5546875" style="49" bestFit="1" customWidth="1"/>
    <col min="15877" max="15877" width="8.88671875" style="49"/>
    <col min="15878" max="15878" width="15.6640625" style="49" bestFit="1" customWidth="1"/>
    <col min="15879" max="16128" width="8.88671875" style="49"/>
    <col min="16129" max="16129" width="3.33203125" style="49" bestFit="1" customWidth="1"/>
    <col min="16130" max="16130" width="58.88671875" style="49" bestFit="1" customWidth="1"/>
    <col min="16131" max="16131" width="17.33203125" style="49" bestFit="1" customWidth="1"/>
    <col min="16132" max="16132" width="42.5546875" style="49" bestFit="1" customWidth="1"/>
    <col min="16133" max="16133" width="8.88671875" style="49"/>
    <col min="16134" max="16134" width="15.6640625" style="49" bestFit="1" customWidth="1"/>
    <col min="16135" max="16384" width="8.88671875" style="49"/>
  </cols>
  <sheetData>
    <row r="1" spans="1:4" ht="52.8" customHeight="1" x14ac:dyDescent="0.3">
      <c r="A1" s="42" t="s">
        <v>77</v>
      </c>
      <c r="B1" s="43"/>
      <c r="C1" s="43"/>
      <c r="D1" s="43"/>
    </row>
    <row r="2" spans="1:4" ht="15.6" x14ac:dyDescent="0.3">
      <c r="A2" s="50">
        <v>1</v>
      </c>
      <c r="B2" s="47" t="s">
        <v>78</v>
      </c>
      <c r="C2" s="44">
        <v>1400000000</v>
      </c>
      <c r="D2" s="53"/>
    </row>
    <row r="3" spans="1:4" ht="15.6" x14ac:dyDescent="0.3">
      <c r="A3" s="50">
        <v>2</v>
      </c>
      <c r="B3" s="47" t="s">
        <v>79</v>
      </c>
      <c r="C3" s="44">
        <f>C2*85%</f>
        <v>1190000000</v>
      </c>
      <c r="D3" s="47"/>
    </row>
    <row r="4" spans="1:4" ht="15.6" x14ac:dyDescent="0.3">
      <c r="A4" s="50">
        <v>3</v>
      </c>
      <c r="B4" s="47" t="s">
        <v>80</v>
      </c>
      <c r="C4" s="45">
        <v>0</v>
      </c>
      <c r="D4" s="47"/>
    </row>
    <row r="5" spans="1:4" ht="15.6" x14ac:dyDescent="0.3">
      <c r="A5" s="50">
        <v>4</v>
      </c>
      <c r="B5" s="47" t="s">
        <v>81</v>
      </c>
      <c r="C5" s="46">
        <f>C4*80%</f>
        <v>0</v>
      </c>
      <c r="D5" s="47"/>
    </row>
    <row r="6" spans="1:4" ht="15.6" x14ac:dyDescent="0.3">
      <c r="A6" s="50">
        <v>5</v>
      </c>
      <c r="B6" s="47" t="s">
        <v>82</v>
      </c>
      <c r="C6" s="46">
        <f>C3*15%</f>
        <v>178500000</v>
      </c>
      <c r="D6" s="47"/>
    </row>
    <row r="7" spans="1:4" ht="15.6" x14ac:dyDescent="0.3">
      <c r="A7" s="50">
        <v>6</v>
      </c>
      <c r="B7" s="47" t="s">
        <v>83</v>
      </c>
      <c r="C7" s="46">
        <f>C6*90%</f>
        <v>160650000</v>
      </c>
      <c r="D7" s="47"/>
    </row>
    <row r="8" spans="1:4" ht="15.6" x14ac:dyDescent="0.3">
      <c r="A8" s="50">
        <v>7</v>
      </c>
      <c r="B8" s="47" t="s">
        <v>84</v>
      </c>
      <c r="C8" s="45">
        <f>C7+C5</f>
        <v>160650000</v>
      </c>
      <c r="D8" s="47"/>
    </row>
    <row r="9" spans="1:4" ht="15.6" x14ac:dyDescent="0.3">
      <c r="A9" s="50">
        <v>8</v>
      </c>
      <c r="B9" s="47" t="s">
        <v>85</v>
      </c>
      <c r="C9" s="45">
        <v>0</v>
      </c>
      <c r="D9" s="47"/>
    </row>
    <row r="10" spans="1:4" ht="15.6" x14ac:dyDescent="0.3">
      <c r="A10" s="50">
        <v>9</v>
      </c>
      <c r="B10" s="47" t="s">
        <v>86</v>
      </c>
      <c r="C10" s="45">
        <f>C8-C9</f>
        <v>160650000</v>
      </c>
      <c r="D10" s="47"/>
    </row>
    <row r="11" spans="1:4" ht="15.6" x14ac:dyDescent="0.3">
      <c r="A11" s="51">
        <v>10</v>
      </c>
      <c r="B11" s="48" t="s">
        <v>87</v>
      </c>
      <c r="C11" s="44">
        <f>C3-C6</f>
        <v>1011500000</v>
      </c>
      <c r="D11" s="47"/>
    </row>
    <row r="12" spans="1:4" ht="15.6" x14ac:dyDescent="0.3">
      <c r="A12" s="50">
        <v>1</v>
      </c>
      <c r="B12" s="47" t="s">
        <v>88</v>
      </c>
      <c r="C12" s="45">
        <v>293138714</v>
      </c>
      <c r="D12" s="47"/>
    </row>
    <row r="13" spans="1:4" ht="15.6" x14ac:dyDescent="0.3">
      <c r="A13" s="50">
        <v>2</v>
      </c>
      <c r="B13" s="47" t="s">
        <v>92</v>
      </c>
      <c r="C13" s="46">
        <v>73000000</v>
      </c>
      <c r="D13" s="47"/>
    </row>
    <row r="14" spans="1:4" ht="15.6" x14ac:dyDescent="0.3">
      <c r="A14" s="50">
        <v>3</v>
      </c>
      <c r="B14" s="47" t="s">
        <v>89</v>
      </c>
      <c r="C14" s="46">
        <v>151000000</v>
      </c>
      <c r="D14" s="47"/>
    </row>
    <row r="15" spans="1:4" ht="15.6" x14ac:dyDescent="0.3">
      <c r="A15" s="50">
        <v>4</v>
      </c>
      <c r="B15" s="47" t="s">
        <v>93</v>
      </c>
      <c r="C15" s="46">
        <v>30000000</v>
      </c>
      <c r="D15" s="47"/>
    </row>
    <row r="16" spans="1:4" ht="15.6" x14ac:dyDescent="0.3">
      <c r="A16" s="50">
        <v>5</v>
      </c>
      <c r="B16" s="47" t="s">
        <v>94</v>
      </c>
      <c r="C16" s="46">
        <v>2445240</v>
      </c>
      <c r="D16" s="47"/>
    </row>
    <row r="17" spans="1:6" ht="15.6" x14ac:dyDescent="0.3">
      <c r="A17" s="50">
        <v>6</v>
      </c>
      <c r="B17" s="47" t="s">
        <v>95</v>
      </c>
      <c r="C17" s="46">
        <v>19798413</v>
      </c>
      <c r="D17" s="47"/>
    </row>
    <row r="18" spans="1:6" ht="15.6" x14ac:dyDescent="0.3">
      <c r="A18" s="50">
        <v>7</v>
      </c>
      <c r="B18" s="47" t="s">
        <v>67</v>
      </c>
      <c r="C18" s="46">
        <v>11387647</v>
      </c>
      <c r="D18" s="47"/>
    </row>
    <row r="19" spans="1:6" ht="15.6" x14ac:dyDescent="0.3">
      <c r="A19" s="51">
        <v>11</v>
      </c>
      <c r="B19" s="48" t="s">
        <v>90</v>
      </c>
      <c r="C19" s="44">
        <f>SUM(C12:C18)</f>
        <v>580770014</v>
      </c>
      <c r="D19" s="47"/>
      <c r="F19" s="54"/>
    </row>
    <row r="20" spans="1:6" ht="15.6" x14ac:dyDescent="0.3">
      <c r="A20" s="50"/>
      <c r="B20" s="47" t="s">
        <v>91</v>
      </c>
      <c r="C20" s="55">
        <f>C11-C19</f>
        <v>430729986</v>
      </c>
      <c r="D20" s="47"/>
      <c r="F20" s="56"/>
    </row>
    <row r="21" spans="1:6" x14ac:dyDescent="0.3">
      <c r="C21" s="58">
        <f>C20/C2</f>
        <v>0.30766427571428573</v>
      </c>
      <c r="D21" s="57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Giá vốn</vt:lpstr>
      <vt:lpstr>Bảng phân tích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nguyentruongtuongvy@gmail.com</dc:creator>
  <cp:lastModifiedBy>Administrator</cp:lastModifiedBy>
  <dcterms:created xsi:type="dcterms:W3CDTF">2025-05-10T01:34:43Z</dcterms:created>
  <dcterms:modified xsi:type="dcterms:W3CDTF">2025-05-10T05:17:56Z</dcterms:modified>
</cp:coreProperties>
</file>