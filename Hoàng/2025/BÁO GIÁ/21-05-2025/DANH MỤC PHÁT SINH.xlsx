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BÁO GIÁ\21-05-2025\"/>
    </mc:Choice>
  </mc:AlternateContent>
  <xr:revisionPtr revIDLastSave="0" documentId="13_ncr:1_{00AFA5BE-4B9E-4389-A48F-C60C9D3ED868}" xr6:coauthVersionLast="47" xr6:coauthVersionMax="47" xr10:uidLastSave="{00000000-0000-0000-0000-000000000000}"/>
  <bookViews>
    <workbookView xWindow="-120" yWindow="-120" windowWidth="20730" windowHeight="11160" tabRatio="597" xr2:uid="{00000000-000D-0000-FFFF-FFFF00000000}"/>
  </bookViews>
  <sheets>
    <sheet name="GÓI KHÁM" sheetId="6" r:id="rId1"/>
  </sheets>
  <definedNames>
    <definedName name="_xlnm.Print_Area" localSheetId="0">'GÓI KHÁM'!$A$1:$G$189</definedName>
    <definedName name="_xlnm.Print_Titles" localSheetId="0">'GÓI KHÁM'!#REF!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0" i="6" l="1"/>
  <c r="F56" i="6"/>
  <c r="F57" i="6"/>
  <c r="F58" i="6"/>
  <c r="F59" i="6"/>
  <c r="F60" i="6"/>
  <c r="F61" i="6"/>
  <c r="F62" i="6"/>
  <c r="F63" i="6"/>
  <c r="F64" i="6"/>
  <c r="F65" i="6"/>
  <c r="F67" i="6"/>
  <c r="F68" i="6"/>
  <c r="F69" i="6"/>
  <c r="F70" i="6"/>
  <c r="F71" i="6"/>
  <c r="F72" i="6"/>
  <c r="F73" i="6"/>
  <c r="F74" i="6"/>
  <c r="F75" i="6"/>
  <c r="F76" i="6"/>
  <c r="F77" i="6"/>
  <c r="F78" i="6"/>
  <c r="F79" i="6"/>
  <c r="F80" i="6"/>
  <c r="F81" i="6"/>
  <c r="F82" i="6"/>
  <c r="F83" i="6"/>
  <c r="F84" i="6"/>
  <c r="F85" i="6"/>
  <c r="F87" i="6"/>
  <c r="F88" i="6"/>
  <c r="F94" i="6"/>
  <c r="F95" i="6"/>
  <c r="F96" i="6"/>
  <c r="F97" i="6"/>
  <c r="F98" i="6"/>
  <c r="F99" i="6"/>
  <c r="F100" i="6"/>
  <c r="F101" i="6"/>
  <c r="F102" i="6"/>
  <c r="F103" i="6"/>
  <c r="F104" i="6"/>
  <c r="F105" i="6"/>
  <c r="F106" i="6"/>
  <c r="F107" i="6"/>
  <c r="F108" i="6"/>
  <c r="F109" i="6"/>
  <c r="F141" i="6"/>
  <c r="F142" i="6"/>
  <c r="F143" i="6"/>
  <c r="F144" i="6"/>
  <c r="F146" i="6"/>
  <c r="F147" i="6"/>
  <c r="F149" i="6"/>
  <c r="F150" i="6"/>
  <c r="F151" i="6"/>
  <c r="F152" i="6"/>
  <c r="F153" i="6"/>
  <c r="F154" i="6"/>
  <c r="F155" i="6"/>
  <c r="F156" i="6"/>
  <c r="F158" i="6"/>
  <c r="F161" i="6"/>
  <c r="F162" i="6"/>
  <c r="F163" i="6"/>
  <c r="F164" i="6"/>
  <c r="F165" i="6"/>
  <c r="F166" i="6"/>
  <c r="F167" i="6"/>
  <c r="F168" i="6"/>
  <c r="F170" i="6"/>
  <c r="F171" i="6"/>
  <c r="F172" i="6"/>
  <c r="F176" i="6"/>
  <c r="F177" i="6"/>
  <c r="F178" i="6"/>
  <c r="F33" i="6"/>
  <c r="F34" i="6"/>
  <c r="F35" i="6"/>
  <c r="F36" i="6"/>
  <c r="F37" i="6"/>
  <c r="F38" i="6"/>
  <c r="F39" i="6"/>
  <c r="F40" i="6"/>
  <c r="F41" i="6"/>
  <c r="F42" i="6"/>
  <c r="F43" i="6"/>
  <c r="F44" i="6"/>
  <c r="F45" i="6"/>
  <c r="F46" i="6"/>
  <c r="F47" i="6"/>
  <c r="F48" i="6"/>
  <c r="F49" i="6"/>
  <c r="F50" i="6"/>
  <c r="F51" i="6"/>
  <c r="F53" i="6"/>
  <c r="F54" i="6"/>
  <c r="F55" i="6"/>
  <c r="F32" i="6"/>
  <c r="F19" i="6"/>
  <c r="F20" i="6"/>
  <c r="F21" i="6"/>
  <c r="F22" i="6"/>
  <c r="F23" i="6"/>
  <c r="F24" i="6"/>
  <c r="F25" i="6"/>
  <c r="F26" i="6"/>
  <c r="F27" i="6"/>
  <c r="F28" i="6"/>
  <c r="F29" i="6"/>
  <c r="F30" i="6"/>
  <c r="F7" i="6"/>
  <c r="F8" i="6"/>
  <c r="F9" i="6"/>
  <c r="F10" i="6"/>
  <c r="F11" i="6"/>
  <c r="F12" i="6"/>
  <c r="F13" i="6"/>
  <c r="F14" i="6"/>
  <c r="F15" i="6"/>
  <c r="F16" i="6"/>
  <c r="F17" i="6"/>
  <c r="F18" i="6"/>
  <c r="F6" i="6"/>
</calcChain>
</file>

<file path=xl/sharedStrings.xml><?xml version="1.0" encoding="utf-8"?>
<sst xmlns="http://schemas.openxmlformats.org/spreadsheetml/2006/main" count="378" uniqueCount="368">
  <si>
    <t>Danh mục khám</t>
  </si>
  <si>
    <t>Chức năng khám</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</si>
  <si>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</si>
  <si>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</si>
  <si>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</si>
  <si>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Kiểm tra chức năng thận</t>
  </si>
  <si>
    <t>Gamma GT  (Hãng Roche - Thụy sỹ - Hóa chất chính hãng - Hóa chất chính hãng)</t>
  </si>
  <si>
    <t>Phát hiện tình trạng viêm gan do độc gan, đặc biệt do bia rượu.</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</si>
  <si>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</si>
  <si>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</si>
  <si>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</si>
  <si>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</si>
  <si>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</si>
  <si>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</si>
  <si>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</si>
  <si>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</si>
  <si>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STT</t>
  </si>
  <si>
    <t>Siêu âm màu Bụng - Tổng Quát  (Máy Siemens Sequoia 2022- Đức hiện đại nhất )</t>
  </si>
  <si>
    <t>Siêu âm Tuyến giáp  (Máy Siemens Sequoia 2022- Đức hiện đại nhất )</t>
  </si>
  <si>
    <t>Phát hiện sớm, chính xác các bệnh lý về tuyến giáp (u tuyến giáp...).</t>
  </si>
  <si>
    <t>Urea</t>
  </si>
  <si>
    <t>Định lượng nồng độ Urea Nitrogen có trong máu</t>
  </si>
  <si>
    <t>Hóc môn tuyến giáp</t>
  </si>
  <si>
    <t>TSH  trong máu (Hãng Roche - Thụy sỹ - Hóa chất chính hãng)</t>
  </si>
  <si>
    <t>Đánh giá chức năng của tuyến giáp</t>
  </si>
  <si>
    <t>Free T4 trong máu (Hãng Roche - Thụy sỹ - Hóa chất chính hãng)</t>
  </si>
  <si>
    <t>Total T3 (Hãng Roche - Thụy sỹ - Hóa chất chính hãng)</t>
  </si>
  <si>
    <t>AFP  trong máu (Hãng Roche - Thụy sỹ - Hóa chất chính hãng)</t>
  </si>
  <si>
    <t xml:space="preserve">Chỉ điểm ung thư gan </t>
  </si>
  <si>
    <t>Total PSA và Free PSA  trong máu (Hãng Roche - Thụy sỹ - Hóa chất chính hãng)</t>
  </si>
  <si>
    <t>Chỉ điểm ung thư tiền liệt tuyến</t>
  </si>
  <si>
    <t>Cyfra 21-1  trong máu (Hãng Roche - Thụy sỹ - Hóa chất chính hãng)</t>
  </si>
  <si>
    <t xml:space="preserve">Chỉ điểm ung thư phổi tế bào lớn </t>
  </si>
  <si>
    <t>CEA trong máu (Hãng Roche - Thụy sỹ - Hóa chất chính hãng)</t>
  </si>
  <si>
    <t xml:space="preserve">Chỉ điểm ung thư đường tiêu hóa </t>
  </si>
  <si>
    <t>Kiểm tra gout</t>
  </si>
  <si>
    <t>Định lượng ACID URIC máu (Hãng Roche - Thụy sỹ - Hóa chất chính hãng - Hóa chất chính hãng)</t>
  </si>
  <si>
    <t>Phát hiện bệnh Goutte.</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</si>
  <si>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</si>
  <si>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</si>
  <si>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</si>
  <si>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</si>
  <si>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Chỉ điểm ung thư</t>
  </si>
  <si>
    <t>Xét nghiệm HBsAg (test nhanh)</t>
  </si>
  <si>
    <t>Phát hiện có nhiễm viêm gan B hay không? (Định tính).</t>
  </si>
  <si>
    <t>Điện giải</t>
  </si>
  <si>
    <t>Điện giải đồ (Na, K, Cl)</t>
  </si>
  <si>
    <t>Phát hiện rối loạn chất điện giải</t>
  </si>
  <si>
    <t>Chụp XQ cột sống cổ thẳng nghiêng kỹ thuật số (Hãng Fuji - Nhật)</t>
  </si>
  <si>
    <t xml:space="preserve">Phát hiện tình trạng thoái hóa cột sống, bệnh lý xương cột sống cổ </t>
  </si>
  <si>
    <t>Kiểm tra tiểu đường</t>
  </si>
  <si>
    <t>HbA1C (Hãng Roche - Thụy sỹ - Hóa chất chính hãng - Hóa chất chính hãng)</t>
  </si>
  <si>
    <t>Phát hiện sớm và theo dõi điều trị bệnh tiểu đường</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</si>
  <si>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</si>
  <si>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</si>
  <si>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</si>
  <si>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</si>
  <si>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</si>
  <si>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Nhóm máu</t>
  </si>
  <si>
    <t>Định nhóm máu ABO, Rh (D) bằng phương pháp Gelcard</t>
  </si>
  <si>
    <t xml:space="preserve">Xác định nhóm máu </t>
  </si>
  <si>
    <t>Đông máu</t>
  </si>
  <si>
    <t xml:space="preserve">Xét nghiệm Prothrombin (PT: Prothrombin Time) </t>
  </si>
  <si>
    <t>Kiểm tra tình trạng rối loạn đông máu;</t>
  </si>
  <si>
    <t>Sắt</t>
  </si>
  <si>
    <t>Fe (Sắt huyết thanh)</t>
  </si>
  <si>
    <t>Phát hiện tình trạng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</si>
  <si>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</si>
  <si>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</si>
  <si>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</si>
  <si>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</si>
  <si>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</si>
  <si>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</si>
  <si>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</si>
  <si>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</si>
  <si>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Định lượng Can xi toàn phần</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</si>
  <si>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</si>
  <si>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</si>
  <si>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</si>
  <si>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</si>
  <si>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19-9 trong máu (Hãng Roche - Thụy sỹ - Hóa chất chính hãng)</t>
  </si>
  <si>
    <t>Chỉ điểm ung thư tụy</t>
  </si>
  <si>
    <t>NSE  trong máu (Hãng Roche - Thụy sỹ - Hóa chất chính hãng)</t>
  </si>
  <si>
    <t>Chỉ điểm ung thư phổi tế bào nhỏ, u nguyên bào thần kinh …</t>
  </si>
  <si>
    <t>ProGRP</t>
  </si>
  <si>
    <t>Chẩn đoán ung thư phổi tế bào nhỏ</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</si>
  <si>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</si>
  <si>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</si>
  <si>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</si>
  <si>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</si>
  <si>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</si>
  <si>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</si>
  <si>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</si>
  <si>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</si>
  <si>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</si>
  <si>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</si>
  <si>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</si>
  <si>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</si>
  <si>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</si>
  <si>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</si>
  <si>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</si>
  <si>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</si>
  <si>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Viên gan B</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</si>
  <si>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</si>
  <si>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</si>
  <si>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</si>
  <si>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</si>
  <si>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</si>
  <si>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</si>
  <si>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</si>
  <si>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</si>
  <si>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</si>
  <si>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</si>
  <si>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HBeAg  (Hãng Roche - Thụy sỹ - Hóa chất chính hãng)</t>
  </si>
  <si>
    <t>Phát hiện định lượng kháng nguyên nhân virus viêm gan B (cho thấy tình trạng hoạt động của virus)</t>
  </si>
  <si>
    <t>HBeAg test nhanh (Hãng Roche - Thụy sỹ - Hóa chất chính hãng)</t>
  </si>
  <si>
    <t>Phát hiện định tính kháng nguyên nhân virus viêm gan B (cho thấy tình trạng hoạt động của virus)</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</si>
  <si>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</si>
  <si>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</si>
  <si>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</si>
  <si>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</si>
  <si>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</si>
  <si>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</si>
  <si>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</si>
  <si>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</si>
  <si>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</si>
  <si>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</si>
  <si>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</si>
  <si>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</si>
  <si>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Dị ứng</t>
  </si>
  <si>
    <t>Xét nghiệm 99 dị nguyên</t>
  </si>
  <si>
    <t>Xét nghiệm 96 dị nguyên</t>
  </si>
  <si>
    <t>HP dạ dày</t>
  </si>
  <si>
    <t>Helicobacter Pylori IgM</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</si>
  <si>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</si>
  <si>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</si>
  <si>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</si>
  <si>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</si>
  <si>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</si>
  <si>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</si>
  <si>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</si>
  <si>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</si>
  <si>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</si>
  <si>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</si>
  <si>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</si>
  <si>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</si>
  <si>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</si>
  <si>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</si>
  <si>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</si>
  <si>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</si>
  <si>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</si>
  <si>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</si>
  <si>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</si>
  <si>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</si>
  <si>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</si>
  <si>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</si>
  <si>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</si>
  <si>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</si>
  <si>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</si>
  <si>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</si>
  <si>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</si>
  <si>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</si>
  <si>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</si>
  <si>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</si>
  <si>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</si>
  <si>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</si>
  <si>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</si>
  <si>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</si>
  <si>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</si>
  <si>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</si>
  <si>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</si>
  <si>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</si>
  <si>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</si>
  <si>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</si>
  <si>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</si>
  <si>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</si>
  <si>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</si>
  <si>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</si>
  <si>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</si>
  <si>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</si>
  <si>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</si>
  <si>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</si>
  <si>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</si>
  <si>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</si>
  <si>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</si>
  <si>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</si>
  <si>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</si>
  <si>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</si>
  <si>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</si>
  <si>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</si>
  <si>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</si>
  <si>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</si>
  <si>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</si>
  <si>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</si>
  <si>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</si>
  <si>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</si>
  <si>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</si>
  <si>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</si>
  <si>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</si>
  <si>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</si>
  <si>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</si>
  <si>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</si>
  <si>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</si>
  <si>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</si>
  <si>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</si>
  <si>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</si>
  <si>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</si>
  <si>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</si>
  <si>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</si>
  <si>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</si>
  <si>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</si>
  <si>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</si>
  <si>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</si>
  <si>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</si>
  <si>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</si>
  <si>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</si>
  <si>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</si>
  <si>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</si>
  <si>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</si>
  <si>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</si>
  <si>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</si>
  <si>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</si>
  <si>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</si>
  <si>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</si>
  <si>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</si>
  <si>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</si>
  <si>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</si>
  <si>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Đo loãng xương bằng sóng siêu âm (Sonost 3000 - Hàn quốc)</t>
  </si>
  <si>
    <t>Phát hiện tình trạng loãng xương toàn thân</t>
  </si>
  <si>
    <t>Đo xơ hóa gan</t>
  </si>
  <si>
    <t>Siêu âm đàn hồi đo xơ hóa gan, định lượng gan nhiễm mỡ</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</si>
  <si>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</si>
  <si>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</si>
  <si>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</si>
  <si>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</si>
  <si>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</si>
  <si>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</si>
  <si>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</si>
  <si>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</si>
  <si>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</si>
  <si>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</si>
  <si>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</si>
  <si>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</si>
  <si>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</si>
  <si>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</si>
  <si>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</si>
  <si>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</si>
  <si>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</si>
  <si>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</si>
  <si>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</si>
  <si>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</si>
  <si>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Xét nghiệm tinh dịch đồ</t>
  </si>
  <si>
    <t>Xác định số lượng và chất lượng tinh trùng, hỗ trợ cho chẩn đoán và điều trị vô sinh ở nam giới</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</si>
  <si>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</si>
  <si>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</si>
  <si>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</si>
  <si>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</si>
  <si>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</si>
  <si>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</si>
  <si>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</si>
  <si>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</si>
  <si>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</si>
  <si>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</si>
  <si>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</si>
  <si>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</si>
  <si>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</si>
  <si>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</si>
  <si>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</si>
  <si>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</si>
  <si>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</si>
  <si>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</si>
  <si>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Ethanol</t>
  </si>
  <si>
    <t>Kiểm tra nồng độ cồn</t>
  </si>
  <si>
    <t xml:space="preserve">HIV (test nhanh) </t>
  </si>
  <si>
    <t>Phát hiện định tính nhiễm virus HIV</t>
  </si>
  <si>
    <t xml:space="preserve">Xét nghiệm Syphylis </t>
  </si>
  <si>
    <t>Phát hiện giang mai</t>
  </si>
  <si>
    <t xml:space="preserve">      * Test Morphin/Heroin</t>
  </si>
  <si>
    <t xml:space="preserve">      * Test Amphetamin</t>
  </si>
  <si>
    <t xml:space="preserve">      * Test Methamphetamin</t>
  </si>
  <si>
    <t xml:space="preserve">      * Test Marijuana (Cần Sa)</t>
  </si>
  <si>
    <t>Đơn giá niêm yết (VNĐ)</t>
  </si>
  <si>
    <t>Đơn giá ưu đãi (VNĐ)</t>
  </si>
  <si>
    <t>Tặng kèm</t>
  </si>
  <si>
    <t>Điện tâm đồ. (Đo điện tim) 12 kênh (Hãng GE - Mỹ)</t>
  </si>
  <si>
    <t>Phát hiện sớm các bệnh lý thiếu máu cơ tim, rối loạn nhịp tim</t>
  </si>
  <si>
    <t>Ghi chú</t>
  </si>
  <si>
    <t>**CÁC HẠNG MỤC VỀ XÉT NGHIỆM ĐỊNH KỲ THÔNG THƯỜNG:</t>
  </si>
  <si>
    <t>Kiểm tra viêm gan do rượu bia</t>
  </si>
  <si>
    <t>Nên làm cùng Creatinin để được đánh giá toàn diện</t>
  </si>
  <si>
    <t>Phải làm Creatinin trước mới làm được</t>
  </si>
  <si>
    <t xml:space="preserve">Bộ mỡ </t>
  </si>
  <si>
    <t xml:space="preserve">VLDL - cholesterol   (Hãng Roche - Thụy sỹ - Hóa chất chính hãng)    </t>
  </si>
  <si>
    <t>Cholesterol rất có hại</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</si>
  <si>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</si>
  <si>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</si>
  <si>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</si>
  <si>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</si>
  <si>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</si>
  <si>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</si>
  <si>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</si>
  <si>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</si>
  <si>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Xét nghiệm thromboplastin một phần hoạt hóa (APTT: Activated Partial Thromboplastin Time)</t>
  </si>
  <si>
    <t xml:space="preserve">Xét nghiệm định lượng Fibrinogen </t>
  </si>
  <si>
    <t>Xét nghiệm Định lượng D-Dimer</t>
  </si>
  <si>
    <t>Kiểm tra tình trạng huyết khối;</t>
  </si>
  <si>
    <t>Nên làm cả hai để đánh giá toàn diện về thiếu máu do thiếu sắt</t>
  </si>
  <si>
    <t>Nên làm canxi ion hoặc nên làm cả hai để đánh giá tốt nhất</t>
  </si>
  <si>
    <t>** CÁC HẠNG MỤC VỀ XÉT NGHIỆM TẦM SOÁT UNG THƯ:</t>
  </si>
  <si>
    <t>Phải lấy máu tươi chạy trực tiếp tại Trung tâm</t>
  </si>
  <si>
    <t xml:space="preserve"> </t>
  </si>
  <si>
    <t>**CÁC HẠNG MỤC VỀ XÉT NGHIỆM VIÊM GAN SIÊU VI:</t>
  </si>
  <si>
    <t>Chỉ làm khi khách hàng đã kiểm tra HBsAg viên gan B âm tính hoặc muốn kiểm tra xem cơ thể có chất kháng thể chống viêm gan B hay chưa sau tiêm vaccin?</t>
  </si>
  <si>
    <t>Chỉ làm khi khách hàng đã bị nhiễm viêm gan B.</t>
  </si>
  <si>
    <t>Chỉ làm khi khác hàng đã bị nhiễm viêm gan B</t>
  </si>
  <si>
    <t>Chỉ làm khi khác hàng đã bị nhiềm viêm gan B</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</si>
  <si>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</si>
  <si>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</si>
  <si>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</si>
  <si>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</si>
  <si>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</si>
  <si>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</si>
  <si>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Chỉ áp dụng với KH chưa từng nhiễm HP. Nếu đã từng dương tính HP thì kết quả test sẽ không chính xác</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</si>
  <si>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</si>
  <si>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</si>
  <si>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</si>
  <si>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</si>
  <si>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</si>
  <si>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</si>
  <si>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</si>
  <si>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</si>
  <si>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</si>
  <si>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 xml:space="preserve">Siêu âm tim 2D tiêu chuẩn (Máy Siemens SC 2000 - Đức hiện đại nhất Việt nam hiện nay) </t>
  </si>
  <si>
    <t>Siêu âm tim 2D đánh giá strain thất trái</t>
  </si>
  <si>
    <t>X-quang</t>
  </si>
  <si>
    <t>MRI</t>
  </si>
  <si>
    <t>Trên 3 tháng mới được chụp</t>
  </si>
  <si>
    <t>**CÁC HẠNG MỤC KHÁC:</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</si>
  <si>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</si>
  <si>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</si>
  <si>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</si>
  <si>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</si>
  <si>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</si>
  <si>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</si>
  <si>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Phải làm cả hai để đánh giá được</t>
  </si>
  <si>
    <t>**CÁC HẠNG MỤC VỀ NỘI SOI:</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</si>
  <si>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</si>
  <si>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**CÁC HẠNG MỤC ĐẶC THÙ CỦA NAM: </t>
  </si>
  <si>
    <t xml:space="preserve">**CÁC HẠNG MỤC ĐẶC THÙ CỦA NỮ: </t>
  </si>
  <si>
    <t>Khám Phụ khoa - Chuyên khoa sản</t>
  </si>
  <si>
    <t>Phát hiện các bệnh lý về sản phụ khoa.</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</si>
  <si>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</si>
  <si>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</si>
  <si>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</si>
  <si>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</si>
  <si>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**CÁC HẠNG MỤC VỀ XÉT NGHIỆM HIV - GIANG MAI</t>
  </si>
  <si>
    <t>**CÁC HẠNG MỤC VỀ XÉT NGHIỆM MA TÚY NƯỚC TIỂU</t>
  </si>
  <si>
    <t>**CÁC HẠNG MỤC VỀ VACCINE</t>
  </si>
  <si>
    <t>GENE HBVAX 1ML (Viêm gan B - Việt Nam)</t>
  </si>
  <si>
    <t>INFLUVAC TETRA 0,5ML (Cúm - Hà Lan)</t>
  </si>
  <si>
    <t>GARDASIL 0,5ML (Ung thư cổ tử cung - Mỹ)</t>
  </si>
  <si>
    <t>PHẾ CẦU PREVENAR 13 0,5ML (Bỉ)</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</si>
  <si>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</si>
  <si>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1. Đối với khách hàng chưa có bệnh lý tuyến giáp thì đăng ký TSH + Free T4             
2. Đối với khách hàng có tiền sử về bệnh ly tuyến giáp thì làm cả 3 dịch vụ</t>
  </si>
  <si>
    <t xml:space="preserve"> ** CÁC DẠNH MỤC TỰ CHỌN:</t>
  </si>
  <si>
    <t>Test ma tuý tổng hợp</t>
  </si>
  <si>
    <r>
      <t>Chụp cộng hưởng từ (MRI) vùng bụng (</t>
    </r>
    <r>
      <rPr>
        <b/>
        <sz val="12"/>
        <rFont val="Times New Roman"/>
        <family val="1"/>
      </rPr>
      <t>không đối quang từ</t>
    </r>
    <r>
      <rPr>
        <sz val="12"/>
        <rFont val="Times New Roman"/>
        <family val="1"/>
      </rPr>
      <t>) (Máy MRI 3.0 Tesla Lumina - Hãng Siemen -Đức)</t>
    </r>
  </si>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</sst>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b/>
      <sz val="12"/>
      <color rgb="FFFF0000"/>
      <name val="Times New Roman"/>
      <family val="1"/>
    </font>
    <font>
      <sz val="12"/>
      <name val="Times New Roman"/>
      <family val="1"/>
    </font>
    <font>
      <b/>
      <sz val="12"/>
      <name val="Times New Roman"/>
      <family val="1"/>
    </font>
    <font>
      <sz val="12"/>
      <color rgb="FFFF0000"/>
      <name val="Times New Roman"/>
      <family val="1"/>
    </font>
    <font>
      <b/>
      <u/>
      <sz val="12"/>
      <color rgb="FFFF0000"/>
      <name val="Times New Roman"/>
      <family val="1"/>
    </font>
    <font>
      <sz val="11"/>
      <color theme="1"/>
      <name val="Calibri"/>
      <family val="2"/>
      <charset val="163"/>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theme="7"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s>
  <cellStyleXfs count="3">
    <xf numFmtId="0" fontId="0" fillId="0" borderId="0"/>
    <xf numFmtId="43" fontId="3" fillId="0" borderId="0" applyFont="0" applyFill="0" applyBorder="0" applyAlignment="0" applyProtection="0"/>
    <xf numFmtId="0" fontId="9" fillId="0" borderId="0"/>
  </cellStyleXfs>
  <cellXfs count="104">
    <xf numFmtId="0" fontId="0" fillId="0" borderId="0" xfId="0"/>
    <xf numFmtId="0" fontId="2" fillId="0" borderId="4" xfId="0" applyFont="1" applyBorder="1"/>
    <xf numFmtId="3" fontId="2" fillId="0" borderId="4" xfId="1" applyNumberFormat="1" applyFont="1" applyBorder="1" applyAlignment="1">
      <alignment horizontal="center"/>
    </xf>
    <xf numFmtId="3" fontId="5" fillId="0" borderId="1" xfId="1" applyNumberFormat="1" applyFont="1" applyBorder="1" applyAlignment="1">
      <alignment horizontal="center" vertical="center"/>
    </xf>
    <xf numFmtId="0" fontId="2" fillId="0" borderId="7" xfId="0" applyFont="1" applyBorder="1"/>
    <xf numFmtId="0" fontId="4" fillId="0" borderId="7" xfId="0" applyFont="1" applyBorder="1"/>
    <xf numFmtId="0" fontId="4" fillId="0" borderId="4" xfId="0" applyFont="1" applyBorder="1"/>
    <xf numFmtId="0" fontId="2" fillId="0" borderId="0" xfId="0" applyFont="1"/>
    <xf numFmtId="3" fontId="2" fillId="0" borderId="0" xfId="0" applyNumberFormat="1" applyFont="1" applyAlignment="1">
      <alignment vertical="center"/>
    </xf>
    <xf numFmtId="0" fontId="5" fillId="0" borderId="1" xfId="0" applyFont="1" applyBorder="1" applyAlignment="1">
      <alignment vertical="center" wrapText="1"/>
    </xf>
    <xf numFmtId="0" fontId="2" fillId="0" borderId="5" xfId="0" applyFont="1" applyBorder="1"/>
    <xf numFmtId="3" fontId="2" fillId="0" borderId="5" xfId="1" applyNumberFormat="1" applyFont="1" applyBorder="1" applyAlignment="1">
      <alignment horizontal="center"/>
    </xf>
    <xf numFmtId="164" fontId="5" fillId="0" borderId="1" xfId="1"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164" fontId="7" fillId="0" borderId="1" xfId="1" applyNumberFormat="1" applyFont="1" applyBorder="1" applyAlignment="1">
      <alignment horizontal="right" vertical="center"/>
    </xf>
    <xf numFmtId="3" fontId="7" fillId="0" borderId="1" xfId="1" applyNumberFormat="1" applyFont="1" applyFill="1" applyBorder="1" applyAlignment="1">
      <alignment horizontal="right" vertical="center" wrapText="1"/>
    </xf>
    <xf numFmtId="0" fontId="2" fillId="0" borderId="9" xfId="0" applyFont="1" applyBorder="1"/>
    <xf numFmtId="0" fontId="2" fillId="0" borderId="6" xfId="0" applyFont="1" applyBorder="1"/>
    <xf numFmtId="0" fontId="5" fillId="0" borderId="0" xfId="0" applyFont="1" applyAlignment="1">
      <alignment horizontal="center" vertical="center"/>
    </xf>
    <xf numFmtId="3" fontId="2" fillId="0" borderId="0" xfId="1" applyNumberFormat="1" applyFont="1" applyBorder="1" applyAlignment="1">
      <alignment horizontal="center"/>
    </xf>
    <xf numFmtId="0" fontId="7" fillId="0" borderId="7" xfId="0" applyFont="1" applyBorder="1"/>
    <xf numFmtId="0" fontId="7" fillId="0" borderId="4" xfId="0" applyFont="1" applyBorder="1"/>
    <xf numFmtId="3" fontId="7" fillId="0" borderId="0" xfId="0" applyNumberFormat="1" applyFont="1" applyAlignment="1">
      <alignment vertical="center"/>
    </xf>
    <xf numFmtId="0" fontId="1" fillId="0" borderId="0" xfId="0" applyFont="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2" fillId="0" borderId="4" xfId="0" applyFont="1" applyBorder="1" applyAlignment="1">
      <alignment horizontal="left"/>
    </xf>
    <xf numFmtId="0" fontId="5" fillId="0" borderId="1" xfId="0" applyFont="1" applyBorder="1" applyAlignment="1">
      <alignment horizontal="left"/>
    </xf>
    <xf numFmtId="0" fontId="2" fillId="0" borderId="0" xfId="0" applyFont="1" applyAlignment="1">
      <alignment horizontal="left"/>
    </xf>
    <xf numFmtId="0" fontId="2" fillId="0" borderId="5" xfId="0" applyFont="1" applyBorder="1" applyAlignment="1">
      <alignment horizontal="left"/>
    </xf>
    <xf numFmtId="0" fontId="2" fillId="0" borderId="16" xfId="0" applyFont="1" applyBorder="1"/>
    <xf numFmtId="0" fontId="4" fillId="0" borderId="17" xfId="0" applyFont="1" applyBorder="1" applyAlignment="1">
      <alignment wrapText="1"/>
    </xf>
    <xf numFmtId="0" fontId="4" fillId="0" borderId="10" xfId="0" applyFont="1" applyBorder="1"/>
    <xf numFmtId="0" fontId="4" fillId="0" borderId="4" xfId="0" applyFont="1" applyBorder="1" applyAlignment="1">
      <alignment horizontal="center"/>
    </xf>
    <xf numFmtId="3" fontId="4" fillId="0" borderId="4" xfId="1" applyNumberFormat="1" applyFont="1" applyBorder="1" applyAlignment="1">
      <alignment horizontal="center"/>
    </xf>
    <xf numFmtId="0" fontId="4" fillId="0" borderId="11" xfId="0" applyFont="1" applyBorder="1" applyAlignment="1">
      <alignment wrapText="1"/>
    </xf>
    <xf numFmtId="0" fontId="2" fillId="0" borderId="12" xfId="0" applyFont="1" applyBorder="1"/>
    <xf numFmtId="0" fontId="1" fillId="0" borderId="13" xfId="0" applyFont="1" applyBorder="1" applyAlignment="1">
      <alignment horizontal="center"/>
    </xf>
    <xf numFmtId="0" fontId="2" fillId="0" borderId="13" xfId="0" applyFont="1" applyBorder="1"/>
    <xf numFmtId="3" fontId="2" fillId="0" borderId="13" xfId="1" applyNumberFormat="1" applyFont="1" applyBorder="1" applyAlignment="1">
      <alignment horizontal="center"/>
    </xf>
    <xf numFmtId="0" fontId="4" fillId="0" borderId="14" xfId="0" applyFont="1" applyBorder="1" applyAlignment="1">
      <alignment wrapText="1"/>
    </xf>
    <xf numFmtId="0" fontId="6" fillId="4" borderId="1" xfId="0" applyFont="1" applyFill="1" applyBorder="1" applyAlignment="1">
      <alignment horizontal="center" vertical="center"/>
    </xf>
    <xf numFmtId="3" fontId="6" fillId="4" borderId="1" xfId="1" applyNumberFormat="1" applyFont="1" applyFill="1" applyBorder="1" applyAlignment="1">
      <alignment horizontal="center" vertical="center" wrapText="1"/>
    </xf>
    <xf numFmtId="3" fontId="8" fillId="5" borderId="1" xfId="0" applyNumberFormat="1" applyFont="1" applyFill="1" applyBorder="1" applyAlignment="1">
      <alignment vertical="center"/>
    </xf>
    <xf numFmtId="3" fontId="8" fillId="5" borderId="1" xfId="0" applyNumberFormat="1" applyFont="1" applyFill="1" applyBorder="1" applyAlignment="1">
      <alignment horizontal="center" vertical="center"/>
    </xf>
    <xf numFmtId="3" fontId="8" fillId="5" borderId="1" xfId="0" applyNumberFormat="1" applyFont="1" applyFill="1" applyBorder="1" applyAlignment="1">
      <alignment horizontal="left" vertical="center"/>
    </xf>
    <xf numFmtId="3" fontId="7" fillId="5" borderId="1" xfId="0" applyNumberFormat="1" applyFont="1" applyFill="1" applyBorder="1" applyAlignment="1">
      <alignment vertical="center"/>
    </xf>
    <xf numFmtId="3" fontId="7" fillId="5" borderId="1" xfId="0" applyNumberFormat="1" applyFont="1" applyFill="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left" wrapText="1"/>
    </xf>
    <xf numFmtId="0" fontId="5" fillId="3" borderId="1" xfId="0" applyFont="1" applyFill="1" applyBorder="1" applyAlignment="1">
      <alignment vertical="center" wrapText="1"/>
    </xf>
    <xf numFmtId="3" fontId="5" fillId="3"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3" fontId="5" fillId="0" borderId="1" xfId="1" applyNumberFormat="1" applyFont="1" applyBorder="1" applyAlignment="1">
      <alignment horizontal="center" vertical="center" wrapText="1"/>
    </xf>
    <xf numFmtId="0" fontId="4" fillId="5" borderId="1" xfId="0" applyFont="1" applyFill="1" applyBorder="1" applyAlignment="1">
      <alignment horizontal="left" wrapText="1"/>
    </xf>
    <xf numFmtId="0" fontId="6" fillId="0" borderId="1" xfId="0" applyFont="1" applyBorder="1" applyAlignment="1">
      <alignment vertical="center" wrapText="1"/>
    </xf>
    <xf numFmtId="3" fontId="6" fillId="0" borderId="1" xfId="1" applyNumberFormat="1" applyFont="1" applyBorder="1" applyAlignment="1">
      <alignment horizontal="center" vertical="center" wrapText="1"/>
    </xf>
    <xf numFmtId="3" fontId="6" fillId="3" borderId="1" xfId="1" applyNumberFormat="1" applyFont="1" applyFill="1" applyBorder="1" applyAlignment="1">
      <alignment horizontal="center" vertical="center" wrapText="1"/>
    </xf>
    <xf numFmtId="3" fontId="6" fillId="0" borderId="1" xfId="0" applyNumberFormat="1" applyFont="1" applyBorder="1" applyAlignment="1">
      <alignment horizontal="left" vertical="center" wrapText="1"/>
    </xf>
    <xf numFmtId="3" fontId="5" fillId="0" borderId="1" xfId="0" applyNumberFormat="1" applyFont="1" applyBorder="1" applyAlignment="1">
      <alignment horizontal="left" vertical="center" wrapText="1"/>
    </xf>
    <xf numFmtId="3" fontId="6"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3" fontId="7" fillId="5" borderId="1" xfId="1" applyNumberFormat="1" applyFont="1" applyFill="1" applyBorder="1" applyAlignment="1">
      <alignment horizontal="center" vertical="center"/>
    </xf>
    <xf numFmtId="3" fontId="4" fillId="5" borderId="1" xfId="1" applyNumberFormat="1" applyFont="1" applyFill="1" applyBorder="1" applyAlignment="1">
      <alignment horizontal="center" vertical="center"/>
    </xf>
    <xf numFmtId="3" fontId="7" fillId="0" borderId="7" xfId="0" applyNumberFormat="1" applyFont="1" applyBorder="1" applyAlignment="1">
      <alignment horizontal="left" vertical="center" wrapText="1"/>
    </xf>
    <xf numFmtId="164" fontId="5" fillId="0" borderId="1" xfId="1" applyNumberFormat="1" applyFont="1" applyBorder="1" applyAlignment="1">
      <alignment horizontal="left" vertical="center" wrapText="1"/>
    </xf>
    <xf numFmtId="3" fontId="7" fillId="0" borderId="8" xfId="0" applyNumberFormat="1" applyFont="1" applyBorder="1" applyAlignment="1">
      <alignment horizontal="left" vertical="center" wrapText="1"/>
    </xf>
    <xf numFmtId="3"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3" fontId="5" fillId="2" borderId="1" xfId="0" applyNumberFormat="1" applyFont="1" applyFill="1" applyBorder="1" applyAlignment="1">
      <alignment horizontal="left" vertical="center"/>
    </xf>
    <xf numFmtId="3" fontId="5" fillId="2" borderId="1" xfId="1" applyNumberFormat="1" applyFont="1" applyFill="1" applyBorder="1" applyAlignment="1">
      <alignment horizontal="center" vertical="center"/>
    </xf>
    <xf numFmtId="3" fontId="5" fillId="2" borderId="1" xfId="0" applyNumberFormat="1" applyFont="1" applyFill="1" applyBorder="1" applyAlignment="1">
      <alignment horizontal="left" vertical="center" wrapText="1"/>
    </xf>
    <xf numFmtId="3" fontId="5" fillId="2" borderId="1" xfId="0" applyNumberFormat="1" applyFont="1" applyFill="1" applyBorder="1" applyAlignment="1">
      <alignment horizontal="center" vertical="center"/>
    </xf>
    <xf numFmtId="3" fontId="4" fillId="5" borderId="1" xfId="0" applyNumberFormat="1" applyFont="1" applyFill="1" applyBorder="1" applyAlignment="1">
      <alignment vertical="center"/>
    </xf>
    <xf numFmtId="3" fontId="5" fillId="0" borderId="1" xfId="1" applyNumberFormat="1" applyFont="1" applyBorder="1" applyAlignment="1">
      <alignment vertical="center" wrapText="1"/>
    </xf>
    <xf numFmtId="0" fontId="6" fillId="0" borderId="0" xfId="0" applyFont="1" applyAlignment="1">
      <alignment horizontal="center" vertical="center"/>
    </xf>
    <xf numFmtId="0" fontId="5" fillId="0" borderId="0" xfId="0" applyFont="1" applyAlignment="1">
      <alignment vertical="center" wrapText="1"/>
    </xf>
    <xf numFmtId="3" fontId="5" fillId="0" borderId="0" xfId="1" applyNumberFormat="1" applyFont="1" applyBorder="1" applyAlignment="1">
      <alignment vertical="center" wrapText="1"/>
    </xf>
    <xf numFmtId="0" fontId="6" fillId="0" borderId="0" xfId="0" applyFont="1" applyAlignment="1">
      <alignment horizontal="left" wrapText="1"/>
    </xf>
    <xf numFmtId="0" fontId="5" fillId="0" borderId="2" xfId="0" applyFont="1" applyBorder="1" applyAlignment="1">
      <alignment horizontal="center" vertical="center"/>
    </xf>
    <xf numFmtId="0" fontId="5" fillId="0" borderId="15" xfId="0" applyFont="1" applyBorder="1" applyAlignment="1">
      <alignment horizontal="center" vertical="center"/>
    </xf>
    <xf numFmtId="0" fontId="5" fillId="0" borderId="3" xfId="0" applyFont="1" applyBorder="1" applyAlignment="1">
      <alignment horizontal="center" vertical="center"/>
    </xf>
    <xf numFmtId="0" fontId="6" fillId="0" borderId="2"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3" xfId="0" applyFont="1" applyBorder="1" applyAlignment="1">
      <alignment horizontal="center" vertical="center" wrapText="1"/>
    </xf>
    <xf numFmtId="3" fontId="8" fillId="5" borderId="1" xfId="0" applyNumberFormat="1" applyFont="1" applyFill="1" applyBorder="1" applyAlignment="1">
      <alignment horizontal="left" vertical="center"/>
    </xf>
    <xf numFmtId="0" fontId="8" fillId="5" borderId="1" xfId="0" applyFont="1" applyFill="1" applyBorder="1" applyAlignment="1">
      <alignmen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64" fontId="5" fillId="0" borderId="1" xfId="1" applyNumberFormat="1" applyFont="1" applyBorder="1" applyAlignment="1">
      <alignment horizontal="center" vertical="center"/>
    </xf>
    <xf numFmtId="0" fontId="6" fillId="2" borderId="2"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3" xfId="0" applyFont="1" applyFill="1" applyBorder="1" applyAlignment="1">
      <alignment horizontal="center" vertical="center"/>
    </xf>
    <xf numFmtId="3" fontId="5" fillId="0" borderId="1" xfId="1" applyNumberFormat="1" applyFont="1" applyBorder="1" applyAlignment="1">
      <alignment horizontal="center" vertical="center" wrapText="1"/>
    </xf>
    <xf numFmtId="3" fontId="6"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wrapText="1"/>
    </xf>
    <xf numFmtId="0" fontId="6" fillId="4" borderId="1" xfId="0" applyFont="1" applyFill="1" applyBorder="1" applyAlignment="1">
      <alignment horizontal="center" vertical="center" wrapText="1"/>
    </xf>
    <xf numFmtId="0" fontId="2" fillId="0" borderId="16" xfId="0" applyFont="1" applyBorder="1" applyAlignment="1">
      <alignment horizontal="left"/>
    </xf>
    <xf numFmtId="0" fontId="4" fillId="0" borderId="10" xfId="0" applyFont="1" applyBorder="1" applyAlignment="1">
      <alignment horizontal="left"/>
    </xf>
    <xf numFmtId="0" fontId="2" fillId="0" borderId="12" xfId="0" applyFont="1" applyBorder="1" applyAlignment="1">
      <alignment horizontal="left"/>
    </xf>
  </cellXfs>
  <cellStyles count="3">
    <cellStyle name="Comma" xfId="1" builtinId="3"/>
    <cellStyle name="Normal" xfId="0" builtinId="0"/>
    <cellStyle name="Normal 2" xfId="2" xr:uid="{B620F56A-D6C9-41C6-9774-8074F9BD239B}"/>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8"/>
  <sheetViews>
    <sheetView tabSelected="1" topLeftCell="A190" zoomScale="70" zoomScaleNormal="70" workbookViewId="0">
      <selection activeCell="D200" sqref="D200"/>
    </sheetView>
  </sheetViews>
  <sheetFormatPr defaultColWidth="9.140625" defaultRowHeight="15.75" x14ac:dyDescent="0.25"/>
  <cols>
    <col min="1" max="1" width="6.28515625" style="1" bestFit="1" customWidth="1"/>
    <col min="2" max="2" width="14.7109375" style="26" customWidth="1"/>
    <col min="3" max="3" width="37.7109375" style="1" customWidth="1"/>
    <col min="4" max="4" width="55.5703125" style="1" customWidth="1"/>
    <col min="5" max="5" width="13" style="2" customWidth="1"/>
    <col min="6" max="6" width="16" style="2" customWidth="1"/>
    <col min="7" max="7" width="44.28515625" style="27" customWidth="1"/>
    <col min="8" max="16384" width="9.140625" style="1"/>
  </cols>
  <sheetData>
    <row r="1" spans="1:8" x14ac:dyDescent="0.25">
      <c r="A1" s="31"/>
      <c r="B1" s="25"/>
      <c r="C1" s="10"/>
      <c r="D1" s="10"/>
      <c r="E1" s="11"/>
      <c r="F1" s="32"/>
      <c r="G1" s="101"/>
    </row>
    <row r="2" spans="1:8" s="6" customFormat="1" x14ac:dyDescent="0.25">
      <c r="A2" s="33" t="s">
        <v>364</v>
      </c>
      <c r="B2" s="34"/>
      <c r="E2" s="35"/>
      <c r="F2" s="36"/>
      <c r="G2" s="102"/>
    </row>
    <row r="3" spans="1:8" x14ac:dyDescent="0.25">
      <c r="A3" s="37"/>
      <c r="B3" s="38"/>
      <c r="C3" s="39"/>
      <c r="D3" s="39"/>
      <c r="E3" s="40"/>
      <c r="F3" s="41"/>
      <c r="G3" s="103"/>
    </row>
    <row r="4" spans="1:8" ht="50.25" customHeight="1" x14ac:dyDescent="0.25">
      <c r="A4" s="42" t="s">
        <v>16</v>
      </c>
      <c r="B4" s="100" t="s">
        <v>0</v>
      </c>
      <c r="C4" s="100"/>
      <c r="D4" s="42" t="s">
        <v>1</v>
      </c>
      <c r="E4" s="43" t="s">
        <v>281</v>
      </c>
      <c r="F4" s="43" t="s">
        <v>282</v>
      </c>
      <c r="G4" s="43" t="s">
        <v>286</v>
      </c>
      <c r="H4" s="4"/>
    </row>
    <row r="5" spans="1:8" s="22" customFormat="1" x14ac:dyDescent="0.25">
      <c r="A5" s="44" t="s">
        <v>287</v>
      </c>
      <c r="B5" s="45"/>
      <c r="C5" s="46"/>
      <c r="D5" s="46"/>
      <c r="E5" s="47"/>
      <c r="F5" s="47"/>
      <c r="G5" s="48"/>
      <c r="H5" s="21"/>
    </row>
    <row r="6" spans="1:8" ht="31.5" x14ac:dyDescent="0.25">
      <c r="A6" s="13">
        <v>1</v>
      </c>
      <c r="B6" s="49" t="s">
        <v>50</v>
      </c>
      <c r="C6" s="9" t="s">
        <v>51</v>
      </c>
      <c r="D6" s="9" t="s">
        <v>52</v>
      </c>
      <c r="E6" s="3">
        <v>169000</v>
      </c>
      <c r="F6" s="12">
        <f>E6*0.9</f>
        <v>152100</v>
      </c>
      <c r="G6" s="50"/>
      <c r="H6" s="4"/>
    </row>
    <row r="7" spans="1:8" ht="47.25" x14ac:dyDescent="0.25">
      <c r="A7" s="13">
        <v>2</v>
      </c>
      <c r="B7" s="49" t="s">
        <v>35</v>
      </c>
      <c r="C7" s="9" t="s">
        <v>36</v>
      </c>
      <c r="D7" s="14" t="s">
        <v>37</v>
      </c>
      <c r="E7" s="3">
        <v>41000</v>
      </c>
      <c r="F7" s="12">
        <f t="shared" ref="F7:F70" si="0">E7*0.9</f>
        <v>36900</v>
      </c>
      <c r="G7" s="50"/>
      <c r="H7" s="4"/>
    </row>
    <row r="8" spans="1:8" ht="47.25" x14ac:dyDescent="0.25">
      <c r="A8" s="13">
        <v>3</v>
      </c>
      <c r="B8" s="49" t="s">
        <v>288</v>
      </c>
      <c r="C8" s="51" t="s">
        <v>6</v>
      </c>
      <c r="D8" s="51" t="s">
        <v>7</v>
      </c>
      <c r="E8" s="52">
        <v>41000</v>
      </c>
      <c r="F8" s="12">
        <f t="shared" si="0"/>
        <v>36900</v>
      </c>
      <c r="G8" s="50"/>
      <c r="H8" s="4"/>
    </row>
    <row r="9" spans="1:8" ht="31.5" x14ac:dyDescent="0.25">
      <c r="A9" s="13">
        <v>4</v>
      </c>
      <c r="B9" s="49" t="s">
        <v>53</v>
      </c>
      <c r="C9" s="51" t="s">
        <v>54</v>
      </c>
      <c r="D9" s="51" t="s">
        <v>55</v>
      </c>
      <c r="E9" s="52">
        <v>47000</v>
      </c>
      <c r="F9" s="12">
        <f t="shared" si="0"/>
        <v>42300</v>
      </c>
      <c r="G9" s="50"/>
      <c r="H9" s="4"/>
    </row>
    <row r="10" spans="1:8" ht="31.5" x14ac:dyDescent="0.25">
      <c r="A10" s="13">
        <v>5</v>
      </c>
      <c r="B10" s="89" t="s">
        <v>5</v>
      </c>
      <c r="C10" s="51" t="s">
        <v>20</v>
      </c>
      <c r="D10" s="51" t="s">
        <v>21</v>
      </c>
      <c r="E10" s="52">
        <v>41000</v>
      </c>
      <c r="F10" s="12">
        <f t="shared" si="0"/>
        <v>36900</v>
      </c>
      <c r="G10" s="53" t="s">
        <v>289</v>
      </c>
      <c r="H10" s="4"/>
    </row>
    <row r="11" spans="1:8" ht="31.5" x14ac:dyDescent="0.25">
      <c r="A11" s="13">
        <v>6</v>
      </c>
      <c r="B11" s="89"/>
      <c r="C11" s="51" t="s">
        <v>56</v>
      </c>
      <c r="D11" s="51" t="s">
        <v>57</v>
      </c>
      <c r="E11" s="52">
        <v>41000</v>
      </c>
      <c r="F11" s="12">
        <f t="shared" si="0"/>
        <v>36900</v>
      </c>
      <c r="G11" s="53" t="s">
        <v>290</v>
      </c>
      <c r="H11" s="4"/>
    </row>
    <row r="12" spans="1:8" ht="31.5" x14ac:dyDescent="0.25">
      <c r="A12" s="13">
        <v>7</v>
      </c>
      <c r="B12" s="90" t="s">
        <v>291</v>
      </c>
      <c r="C12" s="51" t="s">
        <v>8</v>
      </c>
      <c r="D12" s="14" t="s">
        <v>9</v>
      </c>
      <c r="E12" s="52">
        <v>41000</v>
      </c>
      <c r="F12" s="12">
        <f t="shared" si="0"/>
        <v>36900</v>
      </c>
      <c r="G12" s="97" t="s">
        <v>367</v>
      </c>
      <c r="H12" s="4"/>
    </row>
    <row r="13" spans="1:8" ht="31.5" x14ac:dyDescent="0.25">
      <c r="A13" s="13">
        <v>8</v>
      </c>
      <c r="B13" s="90"/>
      <c r="C13" s="51" t="s">
        <v>10</v>
      </c>
      <c r="D13" s="14" t="s">
        <v>11</v>
      </c>
      <c r="E13" s="52">
        <v>59000</v>
      </c>
      <c r="F13" s="12">
        <f t="shared" si="0"/>
        <v>53100</v>
      </c>
      <c r="G13" s="97"/>
      <c r="H13" s="4"/>
    </row>
    <row r="14" spans="1:8" x14ac:dyDescent="0.25">
      <c r="A14" s="13">
        <v>9</v>
      </c>
      <c r="B14" s="90"/>
      <c r="C14" s="51" t="s">
        <v>292</v>
      </c>
      <c r="D14" s="14" t="s">
        <v>293</v>
      </c>
      <c r="E14" s="52">
        <v>59000</v>
      </c>
      <c r="F14" s="12">
        <f t="shared" si="0"/>
        <v>53100</v>
      </c>
      <c r="G14" s="97"/>
      <c r="H14" s="4"/>
    </row>
    <row r="15" spans="1:8" ht="31.5" x14ac:dyDescent="0.25">
      <c r="A15" s="13">
        <v>10</v>
      </c>
      <c r="B15" s="90"/>
      <c r="C15" s="51" t="s">
        <v>12</v>
      </c>
      <c r="D15" s="14" t="s">
        <v>13</v>
      </c>
      <c r="E15" s="52">
        <v>47000</v>
      </c>
      <c r="F15" s="12">
        <f t="shared" si="0"/>
        <v>42300</v>
      </c>
      <c r="G15" s="97"/>
      <c r="H15" s="4"/>
    </row>
    <row r="16" spans="1:8" ht="31.5" x14ac:dyDescent="0.25">
      <c r="A16" s="13">
        <v>11</v>
      </c>
      <c r="B16" s="90"/>
      <c r="C16" s="51" t="s">
        <v>14</v>
      </c>
      <c r="D16" s="14" t="s">
        <v>15</v>
      </c>
      <c r="E16" s="52">
        <v>41000</v>
      </c>
      <c r="F16" s="12">
        <f t="shared" si="0"/>
        <v>36900</v>
      </c>
      <c r="G16" s="97"/>
      <c r="H16" s="4"/>
    </row>
    <row r="17" spans="1:8" ht="31.5" x14ac:dyDescent="0.25">
      <c r="A17" s="13">
        <v>12</v>
      </c>
      <c r="B17" s="49" t="s">
        <v>58</v>
      </c>
      <c r="C17" s="9" t="s">
        <v>59</v>
      </c>
      <c r="D17" s="9" t="s">
        <v>60</v>
      </c>
      <c r="E17" s="55">
        <v>102000</v>
      </c>
      <c r="F17" s="12">
        <f t="shared" si="0"/>
        <v>91800</v>
      </c>
      <c r="G17" s="50"/>
      <c r="H17" s="4"/>
    </row>
    <row r="18" spans="1:8" x14ac:dyDescent="0.25">
      <c r="A18" s="13">
        <v>13</v>
      </c>
      <c r="B18" s="89" t="s">
        <v>294</v>
      </c>
      <c r="C18" s="9" t="s">
        <v>295</v>
      </c>
      <c r="D18" s="9" t="s">
        <v>296</v>
      </c>
      <c r="E18" s="55">
        <v>62000</v>
      </c>
      <c r="F18" s="12">
        <f t="shared" si="0"/>
        <v>55800</v>
      </c>
      <c r="G18" s="97" t="s">
        <v>297</v>
      </c>
      <c r="H18" s="4"/>
    </row>
    <row r="19" spans="1:8" ht="31.5" x14ac:dyDescent="0.25">
      <c r="A19" s="13">
        <v>14</v>
      </c>
      <c r="B19" s="89"/>
      <c r="C19" s="9" t="s">
        <v>298</v>
      </c>
      <c r="D19" s="9" t="s">
        <v>299</v>
      </c>
      <c r="E19" s="55">
        <v>165000</v>
      </c>
      <c r="F19" s="12">
        <f>E19*0.9</f>
        <v>148500</v>
      </c>
      <c r="G19" s="97"/>
      <c r="H19" s="4"/>
    </row>
    <row r="20" spans="1:8" ht="31.5" x14ac:dyDescent="0.25">
      <c r="A20" s="13">
        <v>15</v>
      </c>
      <c r="B20" s="89"/>
      <c r="C20" s="9" t="s">
        <v>300</v>
      </c>
      <c r="D20" s="9" t="s">
        <v>301</v>
      </c>
      <c r="E20" s="55">
        <v>116000</v>
      </c>
      <c r="F20" s="12">
        <f t="shared" si="0"/>
        <v>104400</v>
      </c>
      <c r="G20" s="97"/>
      <c r="H20" s="4"/>
    </row>
    <row r="21" spans="1:8" ht="31.5" x14ac:dyDescent="0.25">
      <c r="A21" s="13">
        <v>16</v>
      </c>
      <c r="B21" s="89" t="s">
        <v>61</v>
      </c>
      <c r="C21" s="9" t="s">
        <v>62</v>
      </c>
      <c r="D21" s="9" t="s">
        <v>63</v>
      </c>
      <c r="E21" s="55">
        <v>83000</v>
      </c>
      <c r="F21" s="12">
        <f t="shared" si="0"/>
        <v>74700</v>
      </c>
      <c r="G21" s="50"/>
      <c r="H21" s="4"/>
    </row>
    <row r="22" spans="1:8" ht="47.25" x14ac:dyDescent="0.25">
      <c r="A22" s="13">
        <v>17</v>
      </c>
      <c r="B22" s="89"/>
      <c r="C22" s="9" t="s">
        <v>302</v>
      </c>
      <c r="D22" s="9" t="s">
        <v>63</v>
      </c>
      <c r="E22" s="55">
        <v>130000</v>
      </c>
      <c r="F22" s="12">
        <f t="shared" si="0"/>
        <v>117000</v>
      </c>
      <c r="G22" s="97" t="s">
        <v>297</v>
      </c>
      <c r="H22" s="4"/>
    </row>
    <row r="23" spans="1:8" x14ac:dyDescent="0.25">
      <c r="A23" s="13">
        <v>18</v>
      </c>
      <c r="B23" s="89"/>
      <c r="C23" s="9" t="s">
        <v>303</v>
      </c>
      <c r="D23" s="9" t="s">
        <v>63</v>
      </c>
      <c r="E23" s="55">
        <v>120000</v>
      </c>
      <c r="F23" s="12">
        <f t="shared" si="0"/>
        <v>108000</v>
      </c>
      <c r="G23" s="97"/>
      <c r="H23" s="4"/>
    </row>
    <row r="24" spans="1:8" x14ac:dyDescent="0.25">
      <c r="A24" s="13">
        <v>19</v>
      </c>
      <c r="B24" s="89"/>
      <c r="C24" s="9" t="s">
        <v>304</v>
      </c>
      <c r="D24" s="9" t="s">
        <v>305</v>
      </c>
      <c r="E24" s="55">
        <v>282000</v>
      </c>
      <c r="F24" s="12">
        <f t="shared" si="0"/>
        <v>253800</v>
      </c>
      <c r="G24" s="97"/>
      <c r="H24" s="4"/>
    </row>
    <row r="25" spans="1:8" x14ac:dyDescent="0.25">
      <c r="A25" s="13">
        <v>20</v>
      </c>
      <c r="B25" s="49" t="s">
        <v>45</v>
      </c>
      <c r="C25" s="9" t="s">
        <v>46</v>
      </c>
      <c r="D25" s="9" t="s">
        <v>47</v>
      </c>
      <c r="E25" s="55">
        <v>128000</v>
      </c>
      <c r="F25" s="12">
        <f t="shared" si="0"/>
        <v>115200</v>
      </c>
      <c r="G25" s="50"/>
      <c r="H25" s="4"/>
    </row>
    <row r="26" spans="1:8" x14ac:dyDescent="0.25">
      <c r="A26" s="13">
        <v>21</v>
      </c>
      <c r="B26" s="90" t="s">
        <v>64</v>
      </c>
      <c r="C26" s="9" t="s">
        <v>65</v>
      </c>
      <c r="D26" s="9" t="s">
        <v>66</v>
      </c>
      <c r="E26" s="55">
        <v>71000</v>
      </c>
      <c r="F26" s="12">
        <f t="shared" si="0"/>
        <v>63900</v>
      </c>
      <c r="G26" s="97" t="s">
        <v>306</v>
      </c>
      <c r="H26" s="4"/>
    </row>
    <row r="27" spans="1:8" x14ac:dyDescent="0.25">
      <c r="A27" s="13">
        <v>22</v>
      </c>
      <c r="B27" s="90"/>
      <c r="C27" s="9" t="s">
        <v>67</v>
      </c>
      <c r="D27" s="9" t="s">
        <v>68</v>
      </c>
      <c r="E27" s="3">
        <v>138000</v>
      </c>
      <c r="F27" s="12">
        <f t="shared" si="0"/>
        <v>124200</v>
      </c>
      <c r="G27" s="97"/>
      <c r="H27" s="4"/>
    </row>
    <row r="28" spans="1:8" x14ac:dyDescent="0.25">
      <c r="A28" s="13">
        <v>23</v>
      </c>
      <c r="B28" s="54" t="s">
        <v>69</v>
      </c>
      <c r="C28" s="9" t="s">
        <v>70</v>
      </c>
      <c r="D28" s="9" t="s">
        <v>71</v>
      </c>
      <c r="E28" s="3">
        <v>282000</v>
      </c>
      <c r="F28" s="12">
        <f t="shared" si="0"/>
        <v>253800</v>
      </c>
      <c r="G28" s="53"/>
      <c r="H28" s="4"/>
    </row>
    <row r="29" spans="1:8" s="6" customFormat="1" x14ac:dyDescent="0.25">
      <c r="A29" s="13">
        <v>24</v>
      </c>
      <c r="B29" s="89" t="s">
        <v>72</v>
      </c>
      <c r="C29" s="9" t="s">
        <v>73</v>
      </c>
      <c r="D29" s="9" t="s">
        <v>74</v>
      </c>
      <c r="E29" s="55">
        <v>30000</v>
      </c>
      <c r="F29" s="12">
        <f t="shared" si="0"/>
        <v>27000</v>
      </c>
      <c r="G29" s="99" t="s">
        <v>307</v>
      </c>
      <c r="H29" s="5"/>
    </row>
    <row r="30" spans="1:8" s="6" customFormat="1" x14ac:dyDescent="0.25">
      <c r="A30" s="13">
        <v>25</v>
      </c>
      <c r="B30" s="89"/>
      <c r="C30" s="9" t="s">
        <v>75</v>
      </c>
      <c r="D30" s="9" t="s">
        <v>74</v>
      </c>
      <c r="E30" s="55">
        <v>20000</v>
      </c>
      <c r="F30" s="12">
        <f t="shared" si="0"/>
        <v>18000</v>
      </c>
      <c r="G30" s="99"/>
      <c r="H30" s="5"/>
    </row>
    <row r="31" spans="1:8" s="22" customFormat="1" x14ac:dyDescent="0.25">
      <c r="A31" s="87" t="s">
        <v>308</v>
      </c>
      <c r="B31" s="87"/>
      <c r="C31" s="87"/>
      <c r="D31" s="87"/>
      <c r="E31" s="47"/>
      <c r="F31" s="47"/>
      <c r="G31" s="56"/>
      <c r="H31" s="21"/>
    </row>
    <row r="32" spans="1:8" s="6" customFormat="1" ht="31.5" x14ac:dyDescent="0.25">
      <c r="A32" s="13">
        <v>26</v>
      </c>
      <c r="B32" s="89" t="s">
        <v>42</v>
      </c>
      <c r="C32" s="57" t="s">
        <v>33</v>
      </c>
      <c r="D32" s="9" t="s">
        <v>34</v>
      </c>
      <c r="E32" s="58">
        <v>174000</v>
      </c>
      <c r="F32" s="12">
        <f t="shared" si="0"/>
        <v>156600</v>
      </c>
      <c r="G32" s="50"/>
      <c r="H32" s="5"/>
    </row>
    <row r="33" spans="1:8" s="6" customFormat="1" ht="31.5" x14ac:dyDescent="0.25">
      <c r="A33" s="13">
        <v>27</v>
      </c>
      <c r="B33" s="89"/>
      <c r="C33" s="57" t="s">
        <v>76</v>
      </c>
      <c r="D33" s="9" t="s">
        <v>77</v>
      </c>
      <c r="E33" s="58">
        <v>231000</v>
      </c>
      <c r="F33" s="12">
        <f t="shared" si="0"/>
        <v>207900</v>
      </c>
      <c r="G33" s="50"/>
      <c r="H33" s="5"/>
    </row>
    <row r="34" spans="1:8" s="6" customFormat="1" ht="31.5" x14ac:dyDescent="0.25">
      <c r="A34" s="13">
        <v>28</v>
      </c>
      <c r="B34" s="89"/>
      <c r="C34" s="57" t="s">
        <v>78</v>
      </c>
      <c r="D34" s="9" t="s">
        <v>79</v>
      </c>
      <c r="E34" s="58">
        <v>732000</v>
      </c>
      <c r="F34" s="12">
        <f t="shared" si="0"/>
        <v>658800</v>
      </c>
      <c r="G34" s="50"/>
      <c r="H34" s="5"/>
    </row>
    <row r="35" spans="1:8" s="6" customFormat="1" ht="31.5" x14ac:dyDescent="0.25">
      <c r="A35" s="13">
        <v>29</v>
      </c>
      <c r="B35" s="89"/>
      <c r="C35" s="57" t="s">
        <v>27</v>
      </c>
      <c r="D35" s="9" t="s">
        <v>28</v>
      </c>
      <c r="E35" s="59">
        <v>121000</v>
      </c>
      <c r="F35" s="12">
        <f t="shared" si="0"/>
        <v>108900</v>
      </c>
      <c r="G35" s="50"/>
      <c r="H35" s="5"/>
    </row>
    <row r="36" spans="1:8" s="6" customFormat="1" ht="31.5" x14ac:dyDescent="0.25">
      <c r="A36" s="13">
        <v>30</v>
      </c>
      <c r="B36" s="89"/>
      <c r="C36" s="57" t="s">
        <v>80</v>
      </c>
      <c r="D36" s="9" t="s">
        <v>81</v>
      </c>
      <c r="E36" s="58">
        <v>192000</v>
      </c>
      <c r="F36" s="12">
        <f t="shared" si="0"/>
        <v>172800</v>
      </c>
      <c r="G36" s="50"/>
      <c r="H36" s="5"/>
    </row>
    <row r="37" spans="1:8" s="6" customFormat="1" ht="31.5" x14ac:dyDescent="0.25">
      <c r="A37" s="13">
        <v>31</v>
      </c>
      <c r="B37" s="89"/>
      <c r="C37" s="57" t="s">
        <v>31</v>
      </c>
      <c r="D37" s="9" t="s">
        <v>32</v>
      </c>
      <c r="E37" s="58">
        <v>173000</v>
      </c>
      <c r="F37" s="12">
        <f t="shared" si="0"/>
        <v>155700</v>
      </c>
      <c r="G37" s="50"/>
      <c r="H37" s="5"/>
    </row>
    <row r="38" spans="1:8" s="6" customFormat="1" ht="31.5" x14ac:dyDescent="0.25">
      <c r="A38" s="13">
        <v>32</v>
      </c>
      <c r="B38" s="89"/>
      <c r="C38" s="57" t="s">
        <v>82</v>
      </c>
      <c r="D38" s="9" t="s">
        <v>83</v>
      </c>
      <c r="E38" s="58">
        <v>231000</v>
      </c>
      <c r="F38" s="12">
        <f t="shared" si="0"/>
        <v>207900</v>
      </c>
      <c r="G38" s="53" t="s">
        <v>309</v>
      </c>
      <c r="H38" s="5"/>
    </row>
    <row r="39" spans="1:8" s="6" customFormat="1" x14ac:dyDescent="0.25">
      <c r="A39" s="13">
        <v>33</v>
      </c>
      <c r="B39" s="89"/>
      <c r="C39" s="60" t="s">
        <v>84</v>
      </c>
      <c r="D39" s="61" t="s">
        <v>85</v>
      </c>
      <c r="E39" s="62">
        <v>500000</v>
      </c>
      <c r="F39" s="12">
        <f t="shared" si="0"/>
        <v>450000</v>
      </c>
      <c r="G39" s="50"/>
      <c r="H39" s="5"/>
    </row>
    <row r="40" spans="1:8" s="6" customFormat="1" ht="47.25" x14ac:dyDescent="0.25">
      <c r="A40" s="13">
        <v>34</v>
      </c>
      <c r="B40" s="89"/>
      <c r="C40" s="57" t="s">
        <v>29</v>
      </c>
      <c r="D40" s="9" t="s">
        <v>30</v>
      </c>
      <c r="E40" s="58">
        <v>290000</v>
      </c>
      <c r="F40" s="12">
        <f t="shared" si="0"/>
        <v>261000</v>
      </c>
      <c r="G40" s="50" t="s">
        <v>310</v>
      </c>
      <c r="H40" s="5"/>
    </row>
    <row r="41" spans="1:8" s="6" customFormat="1" ht="31.5" x14ac:dyDescent="0.25">
      <c r="A41" s="13">
        <v>35</v>
      </c>
      <c r="B41" s="89"/>
      <c r="C41" s="57" t="s">
        <v>86</v>
      </c>
      <c r="D41" s="9" t="s">
        <v>87</v>
      </c>
      <c r="E41" s="58">
        <v>231000</v>
      </c>
      <c r="F41" s="12">
        <f t="shared" si="0"/>
        <v>207900</v>
      </c>
      <c r="G41" s="50"/>
      <c r="H41" s="5"/>
    </row>
    <row r="42" spans="1:8" s="6" customFormat="1" ht="47.25" x14ac:dyDescent="0.25">
      <c r="A42" s="13">
        <v>36</v>
      </c>
      <c r="B42" s="89"/>
      <c r="C42" s="57" t="s">
        <v>88</v>
      </c>
      <c r="D42" s="9" t="s">
        <v>89</v>
      </c>
      <c r="E42" s="58">
        <v>616000</v>
      </c>
      <c r="F42" s="12">
        <f t="shared" si="0"/>
        <v>554400</v>
      </c>
      <c r="G42" s="50"/>
      <c r="H42" s="5"/>
    </row>
    <row r="43" spans="1:8" s="6" customFormat="1" ht="31.5" x14ac:dyDescent="0.25">
      <c r="A43" s="13">
        <v>37</v>
      </c>
      <c r="B43" s="89"/>
      <c r="C43" s="57" t="s">
        <v>90</v>
      </c>
      <c r="D43" s="9" t="s">
        <v>91</v>
      </c>
      <c r="E43" s="58">
        <v>231000</v>
      </c>
      <c r="F43" s="12">
        <f t="shared" si="0"/>
        <v>207900</v>
      </c>
      <c r="G43" s="50"/>
      <c r="H43" s="5"/>
    </row>
    <row r="44" spans="1:8" s="6" customFormat="1" x14ac:dyDescent="0.25">
      <c r="A44" s="13">
        <v>38</v>
      </c>
      <c r="B44" s="89"/>
      <c r="C44" s="57" t="s">
        <v>92</v>
      </c>
      <c r="D44" s="9" t="s">
        <v>93</v>
      </c>
      <c r="E44" s="58">
        <v>412000</v>
      </c>
      <c r="F44" s="12">
        <f t="shared" si="0"/>
        <v>370800</v>
      </c>
      <c r="G44" s="50"/>
      <c r="H44" s="5"/>
    </row>
    <row r="45" spans="1:8" s="6" customFormat="1" ht="31.5" x14ac:dyDescent="0.25">
      <c r="A45" s="13">
        <v>39</v>
      </c>
      <c r="B45" s="89" t="s">
        <v>22</v>
      </c>
      <c r="C45" s="57" t="s">
        <v>23</v>
      </c>
      <c r="D45" s="98" t="s">
        <v>24</v>
      </c>
      <c r="E45" s="58">
        <v>137000</v>
      </c>
      <c r="F45" s="12">
        <f t="shared" si="0"/>
        <v>123300</v>
      </c>
      <c r="G45" s="97" t="s">
        <v>363</v>
      </c>
      <c r="H45" s="5"/>
    </row>
    <row r="46" spans="1:8" s="6" customFormat="1" ht="31.5" x14ac:dyDescent="0.25">
      <c r="A46" s="13">
        <v>40</v>
      </c>
      <c r="B46" s="89"/>
      <c r="C46" s="57" t="s">
        <v>25</v>
      </c>
      <c r="D46" s="98"/>
      <c r="E46" s="58">
        <v>137000</v>
      </c>
      <c r="F46" s="12">
        <f t="shared" si="0"/>
        <v>123300</v>
      </c>
      <c r="G46" s="97"/>
      <c r="H46" s="5"/>
    </row>
    <row r="47" spans="1:8" s="6" customFormat="1" ht="31.5" x14ac:dyDescent="0.25">
      <c r="A47" s="13">
        <v>41</v>
      </c>
      <c r="B47" s="89"/>
      <c r="C47" s="57" t="s">
        <v>26</v>
      </c>
      <c r="D47" s="98"/>
      <c r="E47" s="58">
        <v>208000</v>
      </c>
      <c r="F47" s="12">
        <f t="shared" si="0"/>
        <v>187200</v>
      </c>
      <c r="G47" s="97"/>
      <c r="H47" s="5"/>
    </row>
    <row r="48" spans="1:8" s="6" customFormat="1" x14ac:dyDescent="0.25">
      <c r="A48" s="13">
        <v>42</v>
      </c>
      <c r="B48" s="89" t="s">
        <v>94</v>
      </c>
      <c r="C48" s="57" t="s">
        <v>95</v>
      </c>
      <c r="D48" s="98" t="s">
        <v>96</v>
      </c>
      <c r="E48" s="58">
        <v>215000</v>
      </c>
      <c r="F48" s="12">
        <f t="shared" si="0"/>
        <v>193500</v>
      </c>
      <c r="G48" s="53"/>
      <c r="H48" s="5"/>
    </row>
    <row r="49" spans="1:8" s="6" customFormat="1" x14ac:dyDescent="0.25">
      <c r="A49" s="13">
        <v>43</v>
      </c>
      <c r="B49" s="89"/>
      <c r="C49" s="57" t="s">
        <v>97</v>
      </c>
      <c r="D49" s="98"/>
      <c r="E49" s="58">
        <v>323000</v>
      </c>
      <c r="F49" s="12">
        <f t="shared" si="0"/>
        <v>290700</v>
      </c>
      <c r="G49" s="53"/>
      <c r="H49" s="5"/>
    </row>
    <row r="50" spans="1:8" s="6" customFormat="1" ht="63" x14ac:dyDescent="0.25">
      <c r="A50" s="13">
        <v>44</v>
      </c>
      <c r="B50" s="89"/>
      <c r="C50" s="57" t="s">
        <v>98</v>
      </c>
      <c r="D50" s="63" t="s">
        <v>99</v>
      </c>
      <c r="E50" s="58">
        <v>269000</v>
      </c>
      <c r="F50" s="12">
        <f t="shared" si="0"/>
        <v>242100</v>
      </c>
      <c r="G50" s="53"/>
      <c r="H50" s="5"/>
    </row>
    <row r="51" spans="1:8" s="6" customFormat="1" ht="63" x14ac:dyDescent="0.25">
      <c r="A51" s="13">
        <v>45</v>
      </c>
      <c r="B51" s="89"/>
      <c r="C51" s="57" t="s">
        <v>100</v>
      </c>
      <c r="D51" s="63" t="s">
        <v>101</v>
      </c>
      <c r="E51" s="58">
        <v>588000</v>
      </c>
      <c r="F51" s="12">
        <f t="shared" si="0"/>
        <v>529200</v>
      </c>
      <c r="G51" s="53"/>
      <c r="H51" s="5"/>
    </row>
    <row r="52" spans="1:8" s="6" customFormat="1" x14ac:dyDescent="0.25">
      <c r="A52" s="87" t="s">
        <v>311</v>
      </c>
      <c r="B52" s="87"/>
      <c r="C52" s="87"/>
      <c r="D52" s="87"/>
      <c r="E52" s="47"/>
      <c r="F52" s="47"/>
      <c r="G52" s="56"/>
      <c r="H52" s="5"/>
    </row>
    <row r="53" spans="1:8" ht="31.5" x14ac:dyDescent="0.25">
      <c r="A53" s="13">
        <v>46</v>
      </c>
      <c r="B53" s="90" t="s">
        <v>102</v>
      </c>
      <c r="C53" s="9" t="s">
        <v>103</v>
      </c>
      <c r="D53" s="9" t="s">
        <v>104</v>
      </c>
      <c r="E53" s="55">
        <v>123000</v>
      </c>
      <c r="F53" s="12">
        <f t="shared" si="0"/>
        <v>110700</v>
      </c>
      <c r="G53" s="50"/>
      <c r="H53" s="4"/>
    </row>
    <row r="54" spans="1:8" x14ac:dyDescent="0.25">
      <c r="A54" s="13">
        <v>47</v>
      </c>
      <c r="B54" s="90"/>
      <c r="C54" s="9" t="s">
        <v>43</v>
      </c>
      <c r="D54" s="9" t="s">
        <v>44</v>
      </c>
      <c r="E54" s="55">
        <v>66000</v>
      </c>
      <c r="F54" s="12">
        <f t="shared" si="0"/>
        <v>59400</v>
      </c>
      <c r="G54" s="50"/>
      <c r="H54" s="4"/>
    </row>
    <row r="55" spans="1:8" ht="63" x14ac:dyDescent="0.25">
      <c r="A55" s="13">
        <v>48</v>
      </c>
      <c r="B55" s="90"/>
      <c r="C55" s="9" t="s">
        <v>105</v>
      </c>
      <c r="D55" s="9" t="s">
        <v>106</v>
      </c>
      <c r="E55" s="55">
        <v>139000</v>
      </c>
      <c r="F55" s="12">
        <f t="shared" si="0"/>
        <v>125100</v>
      </c>
      <c r="G55" s="50" t="s">
        <v>312</v>
      </c>
      <c r="H55" s="4"/>
    </row>
    <row r="56" spans="1:8" ht="63" x14ac:dyDescent="0.25">
      <c r="A56" s="13">
        <v>49</v>
      </c>
      <c r="B56" s="90"/>
      <c r="C56" s="9" t="s">
        <v>107</v>
      </c>
      <c r="D56" s="9" t="s">
        <v>108</v>
      </c>
      <c r="E56" s="55">
        <v>66000</v>
      </c>
      <c r="F56" s="12">
        <f t="shared" si="0"/>
        <v>59400</v>
      </c>
      <c r="G56" s="50" t="s">
        <v>312</v>
      </c>
      <c r="H56" s="4"/>
    </row>
    <row r="57" spans="1:8" ht="110.25" x14ac:dyDescent="0.25">
      <c r="A57" s="13">
        <v>50</v>
      </c>
      <c r="B57" s="90"/>
      <c r="C57" s="9" t="s">
        <v>109</v>
      </c>
      <c r="D57" s="9" t="s">
        <v>110</v>
      </c>
      <c r="E57" s="55">
        <v>212000</v>
      </c>
      <c r="F57" s="12">
        <f t="shared" si="0"/>
        <v>190800</v>
      </c>
      <c r="G57" s="50"/>
      <c r="H57" s="4"/>
    </row>
    <row r="58" spans="1:8" ht="47.25" x14ac:dyDescent="0.25">
      <c r="A58" s="13">
        <v>51</v>
      </c>
      <c r="B58" s="90"/>
      <c r="C58" s="9" t="s">
        <v>111</v>
      </c>
      <c r="D58" s="9" t="s">
        <v>112</v>
      </c>
      <c r="E58" s="55">
        <v>868000</v>
      </c>
      <c r="F58" s="12">
        <f t="shared" si="0"/>
        <v>781200</v>
      </c>
      <c r="G58" s="53" t="s">
        <v>313</v>
      </c>
      <c r="H58" s="4"/>
    </row>
    <row r="59" spans="1:8" ht="31.5" x14ac:dyDescent="0.25">
      <c r="A59" s="13">
        <v>52</v>
      </c>
      <c r="B59" s="90"/>
      <c r="C59" s="9" t="s">
        <v>113</v>
      </c>
      <c r="D59" s="9" t="s">
        <v>114</v>
      </c>
      <c r="E59" s="55">
        <v>139000</v>
      </c>
      <c r="F59" s="12">
        <f t="shared" si="0"/>
        <v>125100</v>
      </c>
      <c r="G59" s="53" t="s">
        <v>314</v>
      </c>
      <c r="H59" s="4"/>
    </row>
    <row r="60" spans="1:8" ht="31.5" x14ac:dyDescent="0.25">
      <c r="A60" s="13">
        <v>53</v>
      </c>
      <c r="B60" s="90"/>
      <c r="C60" s="9" t="s">
        <v>115</v>
      </c>
      <c r="D60" s="9" t="s">
        <v>116</v>
      </c>
      <c r="E60" s="55">
        <v>72000</v>
      </c>
      <c r="F60" s="12">
        <f t="shared" si="0"/>
        <v>64800</v>
      </c>
      <c r="G60" s="53" t="s">
        <v>315</v>
      </c>
      <c r="H60" s="4"/>
    </row>
    <row r="61" spans="1:8" ht="31.5" x14ac:dyDescent="0.25">
      <c r="A61" s="13">
        <v>54</v>
      </c>
      <c r="B61" s="90" t="s">
        <v>117</v>
      </c>
      <c r="C61" s="9" t="s">
        <v>118</v>
      </c>
      <c r="D61" s="9" t="s">
        <v>119</v>
      </c>
      <c r="E61" s="55">
        <v>174000</v>
      </c>
      <c r="F61" s="12">
        <f t="shared" si="0"/>
        <v>156600</v>
      </c>
      <c r="G61" s="50"/>
      <c r="H61" s="4"/>
    </row>
    <row r="62" spans="1:8" ht="31.5" x14ac:dyDescent="0.25">
      <c r="A62" s="13">
        <v>55</v>
      </c>
      <c r="B62" s="90"/>
      <c r="C62" s="9" t="s">
        <v>120</v>
      </c>
      <c r="D62" s="9" t="s">
        <v>121</v>
      </c>
      <c r="E62" s="55">
        <v>88000</v>
      </c>
      <c r="F62" s="12">
        <f t="shared" si="0"/>
        <v>79200</v>
      </c>
      <c r="G62" s="50"/>
      <c r="H62" s="4"/>
    </row>
    <row r="63" spans="1:8" ht="47.25" x14ac:dyDescent="0.25">
      <c r="A63" s="13">
        <v>56</v>
      </c>
      <c r="B63" s="90" t="s">
        <v>122</v>
      </c>
      <c r="C63" s="9" t="s">
        <v>123</v>
      </c>
      <c r="D63" s="9" t="s">
        <v>124</v>
      </c>
      <c r="E63" s="3">
        <v>168000</v>
      </c>
      <c r="F63" s="12">
        <f t="shared" si="0"/>
        <v>151200</v>
      </c>
      <c r="G63" s="50"/>
      <c r="H63" s="4"/>
    </row>
    <row r="64" spans="1:8" ht="47.25" x14ac:dyDescent="0.25">
      <c r="A64" s="13">
        <v>57</v>
      </c>
      <c r="B64" s="90"/>
      <c r="C64" s="9" t="s">
        <v>125</v>
      </c>
      <c r="D64" s="9" t="s">
        <v>126</v>
      </c>
      <c r="E64" s="3">
        <v>168000</v>
      </c>
      <c r="F64" s="12">
        <f t="shared" si="0"/>
        <v>151200</v>
      </c>
      <c r="G64" s="50"/>
      <c r="H64" s="4"/>
    </row>
    <row r="65" spans="1:8" x14ac:dyDescent="0.25">
      <c r="A65" s="13">
        <v>58</v>
      </c>
      <c r="B65" s="90"/>
      <c r="C65" s="9" t="s">
        <v>127</v>
      </c>
      <c r="D65" s="9" t="s">
        <v>128</v>
      </c>
      <c r="E65" s="3">
        <v>253000</v>
      </c>
      <c r="F65" s="12">
        <f t="shared" si="0"/>
        <v>227700</v>
      </c>
      <c r="G65" s="50"/>
      <c r="H65" s="4"/>
    </row>
    <row r="66" spans="1:8" s="22" customFormat="1" x14ac:dyDescent="0.25">
      <c r="A66" s="87" t="s">
        <v>316</v>
      </c>
      <c r="B66" s="87"/>
      <c r="C66" s="87"/>
      <c r="D66" s="87"/>
      <c r="E66" s="64"/>
      <c r="F66" s="64"/>
      <c r="G66" s="56"/>
      <c r="H66" s="21"/>
    </row>
    <row r="67" spans="1:8" ht="31.5" x14ac:dyDescent="0.25">
      <c r="A67" s="13">
        <v>59</v>
      </c>
      <c r="B67" s="90" t="s">
        <v>317</v>
      </c>
      <c r="C67" s="9" t="s">
        <v>318</v>
      </c>
      <c r="D67" s="9" t="s">
        <v>319</v>
      </c>
      <c r="E67" s="3">
        <v>250000</v>
      </c>
      <c r="F67" s="12">
        <f t="shared" si="0"/>
        <v>225000</v>
      </c>
      <c r="G67" s="50"/>
      <c r="H67" s="4"/>
    </row>
    <row r="68" spans="1:8" ht="47.25" x14ac:dyDescent="0.25">
      <c r="A68" s="13">
        <v>60</v>
      </c>
      <c r="B68" s="90"/>
      <c r="C68" s="9" t="s">
        <v>320</v>
      </c>
      <c r="D68" s="9" t="s">
        <v>321</v>
      </c>
      <c r="E68" s="3">
        <v>399000</v>
      </c>
      <c r="F68" s="12">
        <f t="shared" si="0"/>
        <v>359100</v>
      </c>
      <c r="G68" s="50"/>
      <c r="H68" s="4"/>
    </row>
    <row r="69" spans="1:8" x14ac:dyDescent="0.25">
      <c r="A69" s="13">
        <v>61</v>
      </c>
      <c r="B69" s="90" t="s">
        <v>129</v>
      </c>
      <c r="C69" s="9" t="s">
        <v>130</v>
      </c>
      <c r="D69" s="9"/>
      <c r="E69" s="3">
        <v>2500000</v>
      </c>
      <c r="F69" s="12">
        <f t="shared" si="0"/>
        <v>2250000</v>
      </c>
      <c r="G69" s="50"/>
      <c r="H69" s="4"/>
    </row>
    <row r="70" spans="1:8" x14ac:dyDescent="0.25">
      <c r="A70" s="13">
        <v>62</v>
      </c>
      <c r="B70" s="90"/>
      <c r="C70" s="9" t="s">
        <v>131</v>
      </c>
      <c r="D70" s="9"/>
      <c r="E70" s="3">
        <v>2200000</v>
      </c>
      <c r="F70" s="12">
        <f t="shared" si="0"/>
        <v>1980000</v>
      </c>
      <c r="G70" s="50"/>
      <c r="H70" s="4"/>
    </row>
    <row r="71" spans="1:8" ht="53.25" customHeight="1" x14ac:dyDescent="0.25">
      <c r="A71" s="13">
        <v>63</v>
      </c>
      <c r="B71" s="54" t="s">
        <v>132</v>
      </c>
      <c r="C71" s="9" t="s">
        <v>133</v>
      </c>
      <c r="D71" s="9"/>
      <c r="E71" s="3">
        <v>250000</v>
      </c>
      <c r="F71" s="12">
        <f t="shared" ref="F71:F109" si="1">E71*0.9</f>
        <v>225000</v>
      </c>
      <c r="G71" s="50" t="s">
        <v>322</v>
      </c>
      <c r="H71" s="4"/>
    </row>
    <row r="72" spans="1:8" x14ac:dyDescent="0.25">
      <c r="A72" s="13">
        <v>64</v>
      </c>
      <c r="B72" s="90" t="s">
        <v>134</v>
      </c>
      <c r="C72" s="9" t="s">
        <v>135</v>
      </c>
      <c r="D72" s="9"/>
      <c r="E72" s="3">
        <v>275000</v>
      </c>
      <c r="F72" s="12">
        <f t="shared" si="1"/>
        <v>247500</v>
      </c>
      <c r="G72" s="50"/>
      <c r="H72" s="4"/>
    </row>
    <row r="73" spans="1:8" x14ac:dyDescent="0.25">
      <c r="A73" s="13">
        <v>65</v>
      </c>
      <c r="B73" s="90"/>
      <c r="C73" s="9" t="s">
        <v>136</v>
      </c>
      <c r="D73" s="9"/>
      <c r="E73" s="3">
        <v>187000</v>
      </c>
      <c r="F73" s="12">
        <f t="shared" si="1"/>
        <v>168300</v>
      </c>
      <c r="G73" s="50"/>
      <c r="H73" s="4"/>
    </row>
    <row r="74" spans="1:8" x14ac:dyDescent="0.25">
      <c r="A74" s="13">
        <v>66</v>
      </c>
      <c r="B74" s="90"/>
      <c r="C74" s="9" t="s">
        <v>137</v>
      </c>
      <c r="D74" s="9"/>
      <c r="E74" s="3">
        <v>187000</v>
      </c>
      <c r="F74" s="12">
        <f t="shared" si="1"/>
        <v>168300</v>
      </c>
      <c r="G74" s="50"/>
      <c r="H74" s="4"/>
    </row>
    <row r="75" spans="1:8" x14ac:dyDescent="0.25">
      <c r="A75" s="13">
        <v>67</v>
      </c>
      <c r="B75" s="90"/>
      <c r="C75" s="9" t="s">
        <v>138</v>
      </c>
      <c r="D75" s="9"/>
      <c r="E75" s="3">
        <v>189000</v>
      </c>
      <c r="F75" s="12">
        <f t="shared" si="1"/>
        <v>170100</v>
      </c>
      <c r="G75" s="50"/>
      <c r="H75" s="4"/>
    </row>
    <row r="76" spans="1:8" x14ac:dyDescent="0.25">
      <c r="A76" s="13">
        <v>68</v>
      </c>
      <c r="B76" s="90"/>
      <c r="C76" s="9" t="s">
        <v>139</v>
      </c>
      <c r="D76" s="9"/>
      <c r="E76" s="3">
        <v>150000</v>
      </c>
      <c r="F76" s="12">
        <f t="shared" si="1"/>
        <v>135000</v>
      </c>
      <c r="G76" s="50"/>
      <c r="H76" s="4"/>
    </row>
    <row r="77" spans="1:8" x14ac:dyDescent="0.25">
      <c r="A77" s="13">
        <v>69</v>
      </c>
      <c r="B77" s="90"/>
      <c r="C77" s="9" t="s">
        <v>140</v>
      </c>
      <c r="D77" s="9"/>
      <c r="E77" s="3">
        <v>189000</v>
      </c>
      <c r="F77" s="12">
        <f t="shared" si="1"/>
        <v>170100</v>
      </c>
      <c r="G77" s="50"/>
      <c r="H77" s="4"/>
    </row>
    <row r="78" spans="1:8" x14ac:dyDescent="0.25">
      <c r="A78" s="13">
        <v>70</v>
      </c>
      <c r="B78" s="90"/>
      <c r="C78" s="9" t="s">
        <v>141</v>
      </c>
      <c r="D78" s="9"/>
      <c r="E78" s="3">
        <v>189000</v>
      </c>
      <c r="F78" s="12">
        <f t="shared" si="1"/>
        <v>170100</v>
      </c>
      <c r="G78" s="50"/>
      <c r="H78" s="4"/>
    </row>
    <row r="79" spans="1:8" x14ac:dyDescent="0.25">
      <c r="A79" s="13">
        <v>71</v>
      </c>
      <c r="B79" s="90"/>
      <c r="C79" s="9" t="s">
        <v>142</v>
      </c>
      <c r="D79" s="9"/>
      <c r="E79" s="3">
        <v>187000</v>
      </c>
      <c r="F79" s="12">
        <f t="shared" si="1"/>
        <v>168300</v>
      </c>
      <c r="G79" s="50"/>
      <c r="H79" s="4"/>
    </row>
    <row r="80" spans="1:8" x14ac:dyDescent="0.25">
      <c r="A80" s="13">
        <v>72</v>
      </c>
      <c r="B80" s="90"/>
      <c r="C80" s="9" t="s">
        <v>143</v>
      </c>
      <c r="D80" s="9"/>
      <c r="E80" s="3">
        <v>201000</v>
      </c>
      <c r="F80" s="12">
        <f t="shared" si="1"/>
        <v>180900</v>
      </c>
      <c r="G80" s="50"/>
      <c r="H80" s="4"/>
    </row>
    <row r="81" spans="1:8" x14ac:dyDescent="0.25">
      <c r="A81" s="13">
        <v>73</v>
      </c>
      <c r="B81" s="90"/>
      <c r="C81" s="9" t="s">
        <v>144</v>
      </c>
      <c r="D81" s="9"/>
      <c r="E81" s="3">
        <v>187000</v>
      </c>
      <c r="F81" s="12">
        <f t="shared" si="1"/>
        <v>168300</v>
      </c>
      <c r="G81" s="50"/>
      <c r="H81" s="4"/>
    </row>
    <row r="82" spans="1:8" x14ac:dyDescent="0.25">
      <c r="A82" s="13">
        <v>74</v>
      </c>
      <c r="B82" s="90"/>
      <c r="C82" s="9" t="s">
        <v>145</v>
      </c>
      <c r="D82" s="9"/>
      <c r="E82" s="3">
        <v>187000</v>
      </c>
      <c r="F82" s="12">
        <f t="shared" si="1"/>
        <v>168300</v>
      </c>
      <c r="G82" s="50"/>
      <c r="H82" s="4"/>
    </row>
    <row r="83" spans="1:8" x14ac:dyDescent="0.25">
      <c r="A83" s="13">
        <v>75</v>
      </c>
      <c r="B83" s="90"/>
      <c r="C83" s="9" t="s">
        <v>146</v>
      </c>
      <c r="D83" s="9"/>
      <c r="E83" s="3">
        <v>132000</v>
      </c>
      <c r="F83" s="12">
        <f t="shared" si="1"/>
        <v>118800</v>
      </c>
      <c r="G83" s="50"/>
      <c r="H83" s="4"/>
    </row>
    <row r="84" spans="1:8" x14ac:dyDescent="0.25">
      <c r="A84" s="13">
        <v>76</v>
      </c>
      <c r="B84" s="90"/>
      <c r="C84" s="9" t="s">
        <v>147</v>
      </c>
      <c r="D84" s="9"/>
      <c r="E84" s="3">
        <v>187000</v>
      </c>
      <c r="F84" s="12">
        <f t="shared" si="1"/>
        <v>168300</v>
      </c>
      <c r="G84" s="50"/>
      <c r="H84" s="4"/>
    </row>
    <row r="85" spans="1:8" x14ac:dyDescent="0.25">
      <c r="A85" s="13">
        <v>77</v>
      </c>
      <c r="B85" s="90"/>
      <c r="C85" s="9" t="s">
        <v>148</v>
      </c>
      <c r="D85" s="9"/>
      <c r="E85" s="3">
        <v>1073000</v>
      </c>
      <c r="F85" s="12">
        <f t="shared" si="1"/>
        <v>965700</v>
      </c>
      <c r="G85" s="50"/>
      <c r="H85" s="4"/>
    </row>
    <row r="86" spans="1:8" s="22" customFormat="1" x14ac:dyDescent="0.25">
      <c r="A86" s="87" t="s">
        <v>323</v>
      </c>
      <c r="B86" s="87"/>
      <c r="C86" s="87"/>
      <c r="D86" s="87"/>
      <c r="E86" s="47"/>
      <c r="F86" s="47"/>
      <c r="G86" s="56"/>
      <c r="H86" s="21"/>
    </row>
    <row r="87" spans="1:8" ht="31.5" x14ac:dyDescent="0.25">
      <c r="A87" s="13">
        <v>78</v>
      </c>
      <c r="B87" s="49" t="s">
        <v>324</v>
      </c>
      <c r="C87" s="9" t="s">
        <v>325</v>
      </c>
      <c r="D87" s="9" t="s">
        <v>326</v>
      </c>
      <c r="E87" s="3">
        <v>50000</v>
      </c>
      <c r="F87" s="12">
        <f t="shared" si="1"/>
        <v>45000</v>
      </c>
      <c r="G87" s="50"/>
      <c r="H87" s="4"/>
    </row>
    <row r="88" spans="1:8" ht="31.5" x14ac:dyDescent="0.25">
      <c r="A88" s="13">
        <v>79</v>
      </c>
      <c r="B88" s="49" t="s">
        <v>327</v>
      </c>
      <c r="C88" s="9" t="s">
        <v>328</v>
      </c>
      <c r="D88" s="9" t="s">
        <v>329</v>
      </c>
      <c r="E88" s="3">
        <v>108000</v>
      </c>
      <c r="F88" s="12">
        <f t="shared" si="1"/>
        <v>97200</v>
      </c>
      <c r="G88" s="50"/>
      <c r="H88" s="4"/>
    </row>
    <row r="89" spans="1:8" s="22" customFormat="1" x14ac:dyDescent="0.25">
      <c r="A89" s="88" t="s">
        <v>330</v>
      </c>
      <c r="B89" s="88"/>
      <c r="C89" s="88"/>
      <c r="D89" s="88"/>
      <c r="E89" s="65"/>
      <c r="F89" s="65"/>
      <c r="G89" s="56"/>
      <c r="H89" s="21"/>
    </row>
    <row r="90" spans="1:8" ht="47.25" x14ac:dyDescent="0.25">
      <c r="A90" s="13">
        <v>80</v>
      </c>
      <c r="B90" s="92" t="s">
        <v>331</v>
      </c>
      <c r="C90" s="9" t="s">
        <v>17</v>
      </c>
      <c r="D90" s="9" t="s">
        <v>2</v>
      </c>
      <c r="E90" s="3">
        <v>230000</v>
      </c>
      <c r="F90" s="15">
        <v>155000</v>
      </c>
      <c r="G90" s="50"/>
      <c r="H90" s="4"/>
    </row>
    <row r="91" spans="1:8" ht="47.25" x14ac:dyDescent="0.25">
      <c r="A91" s="13">
        <v>81</v>
      </c>
      <c r="B91" s="93"/>
      <c r="C91" s="9" t="s">
        <v>3</v>
      </c>
      <c r="D91" s="9" t="s">
        <v>4</v>
      </c>
      <c r="E91" s="3">
        <v>220000</v>
      </c>
      <c r="F91" s="15">
        <v>155000</v>
      </c>
      <c r="G91" s="50"/>
      <c r="H91" s="4"/>
    </row>
    <row r="92" spans="1:8" ht="31.5" x14ac:dyDescent="0.25">
      <c r="A92" s="13">
        <v>82</v>
      </c>
      <c r="B92" s="94"/>
      <c r="C92" s="9" t="s">
        <v>18</v>
      </c>
      <c r="D92" s="9" t="s">
        <v>19</v>
      </c>
      <c r="E92" s="3">
        <v>230000</v>
      </c>
      <c r="F92" s="15">
        <v>155000</v>
      </c>
      <c r="G92" s="50"/>
      <c r="H92" s="4"/>
    </row>
    <row r="93" spans="1:8" ht="31.5" x14ac:dyDescent="0.25">
      <c r="A93" s="13">
        <v>83</v>
      </c>
      <c r="B93" s="49"/>
      <c r="C93" s="9" t="s">
        <v>284</v>
      </c>
      <c r="D93" s="9" t="s">
        <v>285</v>
      </c>
      <c r="E93" s="3">
        <v>140000</v>
      </c>
      <c r="F93" s="16">
        <v>70000</v>
      </c>
      <c r="G93" s="28"/>
      <c r="H93" s="4"/>
    </row>
    <row r="94" spans="1:8" ht="47.25" x14ac:dyDescent="0.25">
      <c r="A94" s="13">
        <v>84</v>
      </c>
      <c r="B94" s="92" t="s">
        <v>331</v>
      </c>
      <c r="C94" s="9" t="s">
        <v>332</v>
      </c>
      <c r="D94" s="9"/>
      <c r="E94" s="55">
        <v>250000</v>
      </c>
      <c r="F94" s="12">
        <f t="shared" si="1"/>
        <v>225000</v>
      </c>
      <c r="G94" s="50"/>
      <c r="H94" s="4"/>
    </row>
    <row r="95" spans="1:8" x14ac:dyDescent="0.25">
      <c r="A95" s="13">
        <v>85</v>
      </c>
      <c r="B95" s="93"/>
      <c r="C95" s="9" t="s">
        <v>333</v>
      </c>
      <c r="D95" s="9"/>
      <c r="E95" s="55">
        <v>375000</v>
      </c>
      <c r="F95" s="12">
        <f t="shared" si="1"/>
        <v>337500</v>
      </c>
      <c r="G95" s="50"/>
      <c r="H95" s="4"/>
    </row>
    <row r="96" spans="1:8" ht="31.5" x14ac:dyDescent="0.25">
      <c r="A96" s="13">
        <v>86</v>
      </c>
      <c r="B96" s="93"/>
      <c r="C96" s="9" t="s">
        <v>149</v>
      </c>
      <c r="D96" s="9"/>
      <c r="E96" s="55">
        <v>500000</v>
      </c>
      <c r="F96" s="12">
        <f t="shared" si="1"/>
        <v>450000</v>
      </c>
      <c r="G96" s="50"/>
      <c r="H96" s="4"/>
    </row>
    <row r="97" spans="1:11" ht="47.25" x14ac:dyDescent="0.25">
      <c r="A97" s="13">
        <v>87</v>
      </c>
      <c r="B97" s="93"/>
      <c r="C97" s="9" t="s">
        <v>150</v>
      </c>
      <c r="D97" s="9" t="s">
        <v>151</v>
      </c>
      <c r="E97" s="3">
        <v>700000</v>
      </c>
      <c r="F97" s="12">
        <f t="shared" si="1"/>
        <v>630000</v>
      </c>
      <c r="G97" s="50"/>
      <c r="H97" s="4"/>
    </row>
    <row r="98" spans="1:11" ht="47.25" x14ac:dyDescent="0.25">
      <c r="A98" s="13">
        <v>88</v>
      </c>
      <c r="B98" s="93"/>
      <c r="C98" s="9" t="s">
        <v>152</v>
      </c>
      <c r="D98" s="9" t="s">
        <v>153</v>
      </c>
      <c r="E98" s="3">
        <v>770000</v>
      </c>
      <c r="F98" s="12">
        <f t="shared" si="1"/>
        <v>693000</v>
      </c>
      <c r="G98" s="50"/>
      <c r="H98" s="4"/>
    </row>
    <row r="99" spans="1:11" ht="47.25" x14ac:dyDescent="0.25">
      <c r="A99" s="13">
        <v>89</v>
      </c>
      <c r="B99" s="94"/>
      <c r="C99" s="9" t="s">
        <v>154</v>
      </c>
      <c r="D99" s="9" t="s">
        <v>155</v>
      </c>
      <c r="E99" s="3">
        <v>249000</v>
      </c>
      <c r="F99" s="12">
        <f t="shared" si="1"/>
        <v>224100</v>
      </c>
      <c r="G99" s="50"/>
      <c r="H99" s="4"/>
    </row>
    <row r="100" spans="1:11" ht="31.5" x14ac:dyDescent="0.25">
      <c r="A100" s="13">
        <v>90</v>
      </c>
      <c r="B100" s="89" t="s">
        <v>334</v>
      </c>
      <c r="C100" s="9" t="s">
        <v>48</v>
      </c>
      <c r="D100" s="9" t="s">
        <v>49</v>
      </c>
      <c r="E100" s="55">
        <v>157000</v>
      </c>
      <c r="F100" s="12">
        <f t="shared" si="1"/>
        <v>141300</v>
      </c>
      <c r="G100" s="50"/>
      <c r="H100" s="4"/>
    </row>
    <row r="101" spans="1:11" ht="31.5" x14ac:dyDescent="0.25">
      <c r="A101" s="13">
        <v>91</v>
      </c>
      <c r="B101" s="89"/>
      <c r="C101" s="9" t="s">
        <v>156</v>
      </c>
      <c r="D101" s="9" t="s">
        <v>157</v>
      </c>
      <c r="E101" s="55">
        <v>157000</v>
      </c>
      <c r="F101" s="12">
        <f t="shared" si="1"/>
        <v>141300</v>
      </c>
      <c r="G101" s="50"/>
      <c r="H101" s="4"/>
    </row>
    <row r="102" spans="1:11" ht="31.5" x14ac:dyDescent="0.25">
      <c r="A102" s="13">
        <v>92</v>
      </c>
      <c r="B102" s="89"/>
      <c r="C102" s="9" t="s">
        <v>158</v>
      </c>
      <c r="D102" s="9" t="s">
        <v>159</v>
      </c>
      <c r="E102" s="55">
        <v>143000</v>
      </c>
      <c r="F102" s="12">
        <f t="shared" si="1"/>
        <v>128700</v>
      </c>
      <c r="G102" s="50"/>
      <c r="H102" s="4"/>
    </row>
    <row r="103" spans="1:11" ht="31.5" x14ac:dyDescent="0.25">
      <c r="A103" s="13">
        <v>93</v>
      </c>
      <c r="B103" s="89"/>
      <c r="C103" s="9" t="s">
        <v>160</v>
      </c>
      <c r="D103" s="9" t="s">
        <v>159</v>
      </c>
      <c r="E103" s="55">
        <v>185000</v>
      </c>
      <c r="F103" s="12">
        <f t="shared" si="1"/>
        <v>166500</v>
      </c>
      <c r="G103" s="50"/>
      <c r="H103" s="4"/>
    </row>
    <row r="104" spans="1:11" ht="47.25" x14ac:dyDescent="0.25">
      <c r="A104" s="13">
        <v>94</v>
      </c>
      <c r="B104" s="89"/>
      <c r="C104" s="9" t="s">
        <v>161</v>
      </c>
      <c r="D104" s="9" t="s">
        <v>162</v>
      </c>
      <c r="E104" s="55">
        <v>1200000</v>
      </c>
      <c r="F104" s="12">
        <f t="shared" si="1"/>
        <v>1080000</v>
      </c>
      <c r="G104" s="53"/>
      <c r="H104" s="4"/>
    </row>
    <row r="105" spans="1:11" ht="31.5" x14ac:dyDescent="0.25">
      <c r="A105" s="13">
        <v>95</v>
      </c>
      <c r="B105" s="89"/>
      <c r="C105" s="9" t="s">
        <v>163</v>
      </c>
      <c r="D105" s="9" t="s">
        <v>164</v>
      </c>
      <c r="E105" s="55">
        <v>700000</v>
      </c>
      <c r="F105" s="12">
        <f t="shared" si="1"/>
        <v>630000</v>
      </c>
      <c r="G105" s="50"/>
      <c r="H105" s="4"/>
    </row>
    <row r="106" spans="1:11" ht="31.5" x14ac:dyDescent="0.25">
      <c r="A106" s="13">
        <v>96</v>
      </c>
      <c r="B106" s="89"/>
      <c r="C106" s="9" t="s">
        <v>165</v>
      </c>
      <c r="D106" s="9" t="s">
        <v>166</v>
      </c>
      <c r="E106" s="3">
        <v>847000</v>
      </c>
      <c r="F106" s="12">
        <f t="shared" si="1"/>
        <v>762300</v>
      </c>
      <c r="G106" s="50"/>
      <c r="H106" s="4"/>
    </row>
    <row r="107" spans="1:11" ht="31.5" x14ac:dyDescent="0.25">
      <c r="A107" s="13">
        <v>97</v>
      </c>
      <c r="B107" s="89"/>
      <c r="C107" s="9" t="s">
        <v>167</v>
      </c>
      <c r="D107" s="9" t="s">
        <v>168</v>
      </c>
      <c r="E107" s="3">
        <v>2178000</v>
      </c>
      <c r="F107" s="12">
        <f t="shared" si="1"/>
        <v>1960200</v>
      </c>
      <c r="G107" s="50"/>
      <c r="H107" s="4"/>
    </row>
    <row r="108" spans="1:11" ht="31.5" x14ac:dyDescent="0.25">
      <c r="A108" s="13">
        <v>98</v>
      </c>
      <c r="B108" s="89"/>
      <c r="C108" s="9" t="s">
        <v>169</v>
      </c>
      <c r="D108" s="9" t="s">
        <v>170</v>
      </c>
      <c r="E108" s="3">
        <v>847000</v>
      </c>
      <c r="F108" s="12">
        <f t="shared" si="1"/>
        <v>762300</v>
      </c>
      <c r="G108" s="50"/>
      <c r="H108" s="4"/>
    </row>
    <row r="109" spans="1:11" ht="31.5" x14ac:dyDescent="0.25">
      <c r="A109" s="13">
        <v>99</v>
      </c>
      <c r="B109" s="89"/>
      <c r="C109" s="9" t="s">
        <v>171</v>
      </c>
      <c r="D109" s="9" t="s">
        <v>172</v>
      </c>
      <c r="E109" s="3">
        <v>1700000</v>
      </c>
      <c r="F109" s="12">
        <f t="shared" si="1"/>
        <v>1530000</v>
      </c>
      <c r="G109" s="50"/>
      <c r="H109" s="4"/>
    </row>
    <row r="110" spans="1:11" ht="47.25" x14ac:dyDescent="0.25">
      <c r="A110" s="13">
        <v>100</v>
      </c>
      <c r="B110" s="89" t="s">
        <v>335</v>
      </c>
      <c r="C110" s="9" t="s">
        <v>173</v>
      </c>
      <c r="D110" s="9" t="s">
        <v>174</v>
      </c>
      <c r="E110" s="55">
        <v>3420000</v>
      </c>
      <c r="F110" s="55">
        <v>3420000</v>
      </c>
      <c r="G110" s="50"/>
      <c r="H110" s="66"/>
    </row>
    <row r="111" spans="1:11" ht="47.25" x14ac:dyDescent="0.25">
      <c r="A111" s="13">
        <v>101</v>
      </c>
      <c r="B111" s="89"/>
      <c r="C111" s="9" t="s">
        <v>175</v>
      </c>
      <c r="D111" s="9" t="s">
        <v>176</v>
      </c>
      <c r="E111" s="55">
        <v>3420000</v>
      </c>
      <c r="F111" s="55">
        <v>3420000</v>
      </c>
      <c r="G111" s="50"/>
      <c r="H111" s="4"/>
    </row>
    <row r="112" spans="1:11" ht="47.25" x14ac:dyDescent="0.25">
      <c r="A112" s="13">
        <v>102</v>
      </c>
      <c r="B112" s="89"/>
      <c r="C112" s="9" t="s">
        <v>177</v>
      </c>
      <c r="D112" s="9" t="s">
        <v>178</v>
      </c>
      <c r="E112" s="55">
        <v>3420000</v>
      </c>
      <c r="F112" s="55">
        <v>3420000</v>
      </c>
      <c r="G112" s="67"/>
      <c r="H112" s="68"/>
      <c r="I112" s="68"/>
      <c r="J112" s="68"/>
      <c r="K112" s="66"/>
    </row>
    <row r="113" spans="1:8" ht="47.25" x14ac:dyDescent="0.25">
      <c r="A113" s="13">
        <v>103</v>
      </c>
      <c r="B113" s="89"/>
      <c r="C113" s="9" t="s">
        <v>179</v>
      </c>
      <c r="D113" s="9" t="s">
        <v>180</v>
      </c>
      <c r="E113" s="55">
        <v>3420000</v>
      </c>
      <c r="F113" s="55">
        <v>3420000</v>
      </c>
      <c r="G113" s="50"/>
      <c r="H113" s="4"/>
    </row>
    <row r="114" spans="1:8" ht="47.25" x14ac:dyDescent="0.25">
      <c r="A114" s="13">
        <v>104</v>
      </c>
      <c r="B114" s="89"/>
      <c r="C114" s="9" t="s">
        <v>181</v>
      </c>
      <c r="D114" s="9" t="s">
        <v>182</v>
      </c>
      <c r="E114" s="55">
        <v>3420000</v>
      </c>
      <c r="F114" s="55">
        <v>3420000</v>
      </c>
      <c r="G114" s="50"/>
      <c r="H114" s="4"/>
    </row>
    <row r="115" spans="1:8" ht="47.25" x14ac:dyDescent="0.25">
      <c r="A115" s="13">
        <v>105</v>
      </c>
      <c r="B115" s="89"/>
      <c r="C115" s="9" t="s">
        <v>183</v>
      </c>
      <c r="D115" s="9" t="s">
        <v>184</v>
      </c>
      <c r="E115" s="55">
        <v>5730000</v>
      </c>
      <c r="F115" s="55">
        <v>5730000</v>
      </c>
      <c r="G115" s="50"/>
      <c r="H115" s="4"/>
    </row>
    <row r="116" spans="1:8" ht="47.25" x14ac:dyDescent="0.25">
      <c r="A116" s="13">
        <v>106</v>
      </c>
      <c r="B116" s="89"/>
      <c r="C116" s="9" t="s">
        <v>366</v>
      </c>
      <c r="D116" s="9" t="s">
        <v>185</v>
      </c>
      <c r="E116" s="55">
        <v>3420000</v>
      </c>
      <c r="F116" s="55">
        <v>3420000</v>
      </c>
      <c r="G116" s="50"/>
      <c r="H116" s="4"/>
    </row>
    <row r="117" spans="1:8" ht="47.25" x14ac:dyDescent="0.25">
      <c r="A117" s="13">
        <v>107</v>
      </c>
      <c r="B117" s="89"/>
      <c r="C117" s="9" t="s">
        <v>186</v>
      </c>
      <c r="D117" s="9" t="s">
        <v>185</v>
      </c>
      <c r="E117" s="55">
        <v>4530000</v>
      </c>
      <c r="F117" s="55">
        <v>4530000</v>
      </c>
      <c r="G117" s="50"/>
      <c r="H117" s="4"/>
    </row>
    <row r="118" spans="1:8" ht="47.25" x14ac:dyDescent="0.25">
      <c r="A118" s="13">
        <v>108</v>
      </c>
      <c r="B118" s="89"/>
      <c r="C118" s="9" t="s">
        <v>187</v>
      </c>
      <c r="D118" s="9" t="s">
        <v>188</v>
      </c>
      <c r="E118" s="55">
        <v>3420000</v>
      </c>
      <c r="F118" s="55">
        <v>3420000</v>
      </c>
      <c r="G118" s="50"/>
      <c r="H118" s="4"/>
    </row>
    <row r="119" spans="1:8" ht="47.25" x14ac:dyDescent="0.25">
      <c r="A119" s="13">
        <v>109</v>
      </c>
      <c r="B119" s="89"/>
      <c r="C119" s="9" t="s">
        <v>189</v>
      </c>
      <c r="D119" s="9" t="s">
        <v>190</v>
      </c>
      <c r="E119" s="55">
        <v>5515200</v>
      </c>
      <c r="F119" s="55">
        <v>5515200</v>
      </c>
      <c r="G119" s="50"/>
      <c r="H119" s="4"/>
    </row>
    <row r="120" spans="1:8" ht="47.25" x14ac:dyDescent="0.25">
      <c r="A120" s="13">
        <v>110</v>
      </c>
      <c r="B120" s="89"/>
      <c r="C120" s="9" t="s">
        <v>191</v>
      </c>
      <c r="D120" s="9" t="s">
        <v>192</v>
      </c>
      <c r="E120" s="55">
        <v>2790000</v>
      </c>
      <c r="F120" s="55">
        <v>2790000</v>
      </c>
      <c r="G120" s="53" t="s">
        <v>336</v>
      </c>
      <c r="H120" s="4"/>
    </row>
    <row r="121" spans="1:8" ht="47.25" x14ac:dyDescent="0.25">
      <c r="A121" s="13">
        <v>111</v>
      </c>
      <c r="B121" s="89"/>
      <c r="C121" s="9" t="s">
        <v>193</v>
      </c>
      <c r="D121" s="9" t="s">
        <v>194</v>
      </c>
      <c r="E121" s="55">
        <v>3078000</v>
      </c>
      <c r="F121" s="55">
        <v>3078000</v>
      </c>
      <c r="G121" s="50"/>
      <c r="H121" s="4"/>
    </row>
    <row r="122" spans="1:8" ht="47.25" x14ac:dyDescent="0.25">
      <c r="A122" s="13">
        <v>112</v>
      </c>
      <c r="B122" s="89"/>
      <c r="C122" s="9" t="s">
        <v>195</v>
      </c>
      <c r="D122" s="9" t="s">
        <v>194</v>
      </c>
      <c r="E122" s="55">
        <v>4200000</v>
      </c>
      <c r="F122" s="55">
        <v>4200000</v>
      </c>
      <c r="G122" s="50"/>
      <c r="H122" s="4"/>
    </row>
    <row r="123" spans="1:8" ht="47.25" x14ac:dyDescent="0.25">
      <c r="A123" s="13">
        <v>113</v>
      </c>
      <c r="B123" s="89"/>
      <c r="C123" s="9" t="s">
        <v>196</v>
      </c>
      <c r="D123" s="9" t="s">
        <v>197</v>
      </c>
      <c r="E123" s="55">
        <v>3078000</v>
      </c>
      <c r="F123" s="55">
        <v>3078000</v>
      </c>
      <c r="G123" s="50"/>
      <c r="H123" s="4"/>
    </row>
    <row r="124" spans="1:8" ht="47.25" x14ac:dyDescent="0.25">
      <c r="A124" s="13">
        <v>114</v>
      </c>
      <c r="B124" s="89"/>
      <c r="C124" s="9" t="s">
        <v>198</v>
      </c>
      <c r="D124" s="9" t="s">
        <v>197</v>
      </c>
      <c r="E124" s="55">
        <v>4200000</v>
      </c>
      <c r="F124" s="55">
        <v>4200000</v>
      </c>
      <c r="G124" s="50"/>
      <c r="H124" s="4"/>
    </row>
    <row r="125" spans="1:8" ht="47.25" x14ac:dyDescent="0.25">
      <c r="A125" s="13">
        <v>115</v>
      </c>
      <c r="B125" s="89"/>
      <c r="C125" s="9" t="s">
        <v>199</v>
      </c>
      <c r="D125" s="9" t="s">
        <v>200</v>
      </c>
      <c r="E125" s="55">
        <v>3078000</v>
      </c>
      <c r="F125" s="55">
        <v>3078000</v>
      </c>
      <c r="G125" s="50"/>
      <c r="H125" s="4"/>
    </row>
    <row r="126" spans="1:8" ht="47.25" x14ac:dyDescent="0.25">
      <c r="A126" s="13">
        <v>116</v>
      </c>
      <c r="B126" s="89"/>
      <c r="C126" s="9" t="s">
        <v>201</v>
      </c>
      <c r="D126" s="9" t="s">
        <v>202</v>
      </c>
      <c r="E126" s="55">
        <v>3420000</v>
      </c>
      <c r="F126" s="55">
        <v>3420000</v>
      </c>
      <c r="G126" s="50"/>
      <c r="H126" s="4"/>
    </row>
    <row r="127" spans="1:8" ht="47.25" x14ac:dyDescent="0.25">
      <c r="A127" s="13">
        <v>117</v>
      </c>
      <c r="B127" s="89"/>
      <c r="C127" s="9" t="s">
        <v>203</v>
      </c>
      <c r="D127" s="9" t="s">
        <v>204</v>
      </c>
      <c r="E127" s="55">
        <v>3420000</v>
      </c>
      <c r="F127" s="55">
        <v>3420000</v>
      </c>
      <c r="G127" s="50"/>
      <c r="H127" s="4"/>
    </row>
    <row r="128" spans="1:8" ht="47.25" x14ac:dyDescent="0.25">
      <c r="A128" s="13">
        <v>118</v>
      </c>
      <c r="B128" s="89"/>
      <c r="C128" s="9" t="s">
        <v>205</v>
      </c>
      <c r="D128" s="9" t="s">
        <v>206</v>
      </c>
      <c r="E128" s="55">
        <v>3420000</v>
      </c>
      <c r="F128" s="55">
        <v>3420000</v>
      </c>
      <c r="G128" s="50"/>
      <c r="H128" s="4"/>
    </row>
    <row r="129" spans="1:8" ht="47.25" x14ac:dyDescent="0.25">
      <c r="A129" s="13">
        <v>119</v>
      </c>
      <c r="B129" s="89"/>
      <c r="C129" s="9" t="s">
        <v>207</v>
      </c>
      <c r="D129" s="9" t="s">
        <v>208</v>
      </c>
      <c r="E129" s="55">
        <v>3420000</v>
      </c>
      <c r="F129" s="55">
        <v>3420000</v>
      </c>
      <c r="G129" s="50"/>
      <c r="H129" s="4"/>
    </row>
    <row r="130" spans="1:8" ht="47.25" x14ac:dyDescent="0.25">
      <c r="A130" s="13">
        <v>120</v>
      </c>
      <c r="B130" s="89"/>
      <c r="C130" s="9" t="s">
        <v>209</v>
      </c>
      <c r="D130" s="9" t="s">
        <v>210</v>
      </c>
      <c r="E130" s="55">
        <v>7740000</v>
      </c>
      <c r="F130" s="55">
        <v>7740000</v>
      </c>
      <c r="G130" s="50"/>
      <c r="H130" s="4"/>
    </row>
    <row r="131" spans="1:8" ht="47.25" x14ac:dyDescent="0.25">
      <c r="A131" s="13">
        <v>121</v>
      </c>
      <c r="B131" s="89"/>
      <c r="C131" s="9" t="s">
        <v>211</v>
      </c>
      <c r="D131" s="9" t="s">
        <v>212</v>
      </c>
      <c r="E131" s="55">
        <v>3420000</v>
      </c>
      <c r="F131" s="55">
        <v>3420000</v>
      </c>
      <c r="G131" s="50"/>
      <c r="H131" s="4"/>
    </row>
    <row r="132" spans="1:8" ht="47.25" x14ac:dyDescent="0.25">
      <c r="A132" s="13">
        <v>122</v>
      </c>
      <c r="B132" s="89"/>
      <c r="C132" s="9" t="s">
        <v>213</v>
      </c>
      <c r="D132" s="9" t="s">
        <v>214</v>
      </c>
      <c r="E132" s="55">
        <v>4740000</v>
      </c>
      <c r="F132" s="55">
        <v>4740000</v>
      </c>
      <c r="G132" s="50"/>
      <c r="H132" s="4"/>
    </row>
    <row r="133" spans="1:8" ht="47.25" x14ac:dyDescent="0.25">
      <c r="A133" s="13">
        <v>123</v>
      </c>
      <c r="B133" s="89"/>
      <c r="C133" s="9" t="s">
        <v>215</v>
      </c>
      <c r="D133" s="9" t="s">
        <v>216</v>
      </c>
      <c r="E133" s="55">
        <v>3720000</v>
      </c>
      <c r="F133" s="55">
        <v>3720000</v>
      </c>
      <c r="G133" s="50"/>
      <c r="H133" s="4"/>
    </row>
    <row r="134" spans="1:8" ht="47.25" x14ac:dyDescent="0.25">
      <c r="A134" s="13">
        <v>124</v>
      </c>
      <c r="B134" s="89"/>
      <c r="C134" s="9" t="s">
        <v>217</v>
      </c>
      <c r="D134" s="9"/>
      <c r="E134" s="55">
        <v>6060000</v>
      </c>
      <c r="F134" s="55">
        <v>6060000</v>
      </c>
      <c r="G134" s="50"/>
      <c r="H134" s="4"/>
    </row>
    <row r="135" spans="1:8" ht="47.25" x14ac:dyDescent="0.25">
      <c r="A135" s="13">
        <v>125</v>
      </c>
      <c r="B135" s="89"/>
      <c r="C135" s="9" t="s">
        <v>218</v>
      </c>
      <c r="D135" s="9"/>
      <c r="E135" s="55">
        <v>6060000</v>
      </c>
      <c r="F135" s="55">
        <v>6060000</v>
      </c>
      <c r="G135" s="50"/>
      <c r="H135" s="4"/>
    </row>
    <row r="136" spans="1:8" ht="47.25" x14ac:dyDescent="0.25">
      <c r="A136" s="13">
        <v>126</v>
      </c>
      <c r="B136" s="89"/>
      <c r="C136" s="9" t="s">
        <v>219</v>
      </c>
      <c r="D136" s="9" t="s">
        <v>220</v>
      </c>
      <c r="E136" s="55">
        <v>5520000</v>
      </c>
      <c r="F136" s="55">
        <v>5520000</v>
      </c>
      <c r="G136" s="50"/>
      <c r="H136" s="4"/>
    </row>
    <row r="137" spans="1:8" ht="47.25" x14ac:dyDescent="0.25">
      <c r="A137" s="13">
        <v>127</v>
      </c>
      <c r="B137" s="89"/>
      <c r="C137" s="9" t="s">
        <v>221</v>
      </c>
      <c r="D137" s="9" t="s">
        <v>222</v>
      </c>
      <c r="E137" s="55">
        <v>9930000</v>
      </c>
      <c r="F137" s="55">
        <v>9930000</v>
      </c>
      <c r="G137" s="50"/>
      <c r="H137" s="4"/>
    </row>
    <row r="138" spans="1:8" ht="47.25" x14ac:dyDescent="0.25">
      <c r="A138" s="13">
        <v>128</v>
      </c>
      <c r="B138" s="89"/>
      <c r="C138" s="9" t="s">
        <v>223</v>
      </c>
      <c r="D138" s="9" t="s">
        <v>224</v>
      </c>
      <c r="E138" s="55">
        <v>7740000</v>
      </c>
      <c r="F138" s="55">
        <v>7740000</v>
      </c>
      <c r="G138" s="50"/>
      <c r="H138" s="4"/>
    </row>
    <row r="139" spans="1:8" ht="47.25" x14ac:dyDescent="0.25">
      <c r="A139" s="13">
        <v>129</v>
      </c>
      <c r="B139" s="89"/>
      <c r="C139" s="9" t="s">
        <v>225</v>
      </c>
      <c r="D139" s="9" t="s">
        <v>226</v>
      </c>
      <c r="E139" s="55">
        <v>23160000</v>
      </c>
      <c r="F139" s="55">
        <v>23160000</v>
      </c>
      <c r="G139" s="50"/>
      <c r="H139" s="4"/>
    </row>
    <row r="140" spans="1:8" s="22" customFormat="1" x14ac:dyDescent="0.25">
      <c r="A140" s="88" t="s">
        <v>337</v>
      </c>
      <c r="B140" s="88"/>
      <c r="C140" s="88"/>
      <c r="D140" s="88"/>
      <c r="E140" s="65"/>
      <c r="F140" s="65"/>
      <c r="G140" s="56"/>
      <c r="H140" s="21"/>
    </row>
    <row r="141" spans="1:8" ht="31.5" x14ac:dyDescent="0.25">
      <c r="A141" s="13">
        <v>130</v>
      </c>
      <c r="B141" s="54"/>
      <c r="C141" s="9" t="s">
        <v>227</v>
      </c>
      <c r="D141" s="9" t="s">
        <v>228</v>
      </c>
      <c r="E141" s="55">
        <v>88000</v>
      </c>
      <c r="F141" s="12">
        <f t="shared" ref="F141:F178" si="2">E141*0.9</f>
        <v>79200</v>
      </c>
      <c r="G141" s="50"/>
      <c r="H141" s="4"/>
    </row>
    <row r="142" spans="1:8" x14ac:dyDescent="0.25">
      <c r="A142" s="13">
        <v>131</v>
      </c>
      <c r="B142" s="49"/>
      <c r="C142" s="9" t="s">
        <v>229</v>
      </c>
      <c r="D142" s="9" t="s">
        <v>230</v>
      </c>
      <c r="E142" s="55">
        <v>450000</v>
      </c>
      <c r="F142" s="12">
        <f t="shared" si="2"/>
        <v>405000</v>
      </c>
      <c r="G142" s="50"/>
      <c r="H142" s="4"/>
    </row>
    <row r="143" spans="1:8" s="7" customFormat="1" ht="31.5" x14ac:dyDescent="0.25">
      <c r="A143" s="13">
        <v>132</v>
      </c>
      <c r="B143" s="89" t="s">
        <v>338</v>
      </c>
      <c r="C143" s="9" t="s">
        <v>339</v>
      </c>
      <c r="D143" s="9" t="s">
        <v>340</v>
      </c>
      <c r="E143" s="55">
        <v>178000</v>
      </c>
      <c r="F143" s="12">
        <f t="shared" si="2"/>
        <v>160200</v>
      </c>
      <c r="G143" s="50"/>
    </row>
    <row r="144" spans="1:8" s="7" customFormat="1" ht="31.5" x14ac:dyDescent="0.25">
      <c r="A144" s="13">
        <v>133</v>
      </c>
      <c r="B144" s="89"/>
      <c r="C144" s="9" t="s">
        <v>341</v>
      </c>
      <c r="D144" s="9" t="s">
        <v>342</v>
      </c>
      <c r="E144" s="55">
        <v>127000</v>
      </c>
      <c r="F144" s="12">
        <f t="shared" si="2"/>
        <v>114300</v>
      </c>
      <c r="G144" s="50"/>
    </row>
    <row r="145" spans="1:8" s="23" customFormat="1" x14ac:dyDescent="0.25">
      <c r="A145" s="87" t="s">
        <v>343</v>
      </c>
      <c r="B145" s="87"/>
      <c r="C145" s="87"/>
      <c r="D145" s="87"/>
      <c r="E145" s="44"/>
      <c r="F145" s="44"/>
      <c r="G145" s="46"/>
    </row>
    <row r="146" spans="1:8" s="8" customFormat="1" ht="31.5" x14ac:dyDescent="0.25">
      <c r="A146" s="69">
        <v>134</v>
      </c>
      <c r="B146" s="69"/>
      <c r="C146" s="61" t="s">
        <v>231</v>
      </c>
      <c r="D146" s="61" t="s">
        <v>232</v>
      </c>
      <c r="E146" s="69">
        <v>71000</v>
      </c>
      <c r="F146" s="12">
        <f t="shared" si="2"/>
        <v>63900</v>
      </c>
      <c r="G146" s="96" t="s">
        <v>344</v>
      </c>
    </row>
    <row r="147" spans="1:8" s="8" customFormat="1" ht="31.5" x14ac:dyDescent="0.25">
      <c r="A147" s="69">
        <v>135</v>
      </c>
      <c r="B147" s="69"/>
      <c r="C147" s="61" t="s">
        <v>233</v>
      </c>
      <c r="D147" s="61" t="s">
        <v>234</v>
      </c>
      <c r="E147" s="69">
        <v>86000</v>
      </c>
      <c r="F147" s="12">
        <f t="shared" si="2"/>
        <v>77400</v>
      </c>
      <c r="G147" s="96"/>
    </row>
    <row r="148" spans="1:8" s="22" customFormat="1" x14ac:dyDescent="0.25">
      <c r="A148" s="88" t="s">
        <v>345</v>
      </c>
      <c r="B148" s="88"/>
      <c r="C148" s="88"/>
      <c r="D148" s="88"/>
      <c r="E148" s="65"/>
      <c r="F148" s="65"/>
      <c r="G148" s="56"/>
      <c r="H148" s="21"/>
    </row>
    <row r="149" spans="1:8" ht="47.25" x14ac:dyDescent="0.25">
      <c r="A149" s="70">
        <v>136</v>
      </c>
      <c r="B149" s="49"/>
      <c r="C149" s="9" t="s">
        <v>235</v>
      </c>
      <c r="D149" s="9" t="s">
        <v>236</v>
      </c>
      <c r="E149" s="55">
        <v>1968000</v>
      </c>
      <c r="F149" s="12">
        <f t="shared" si="2"/>
        <v>1771200</v>
      </c>
      <c r="G149" s="97" t="s">
        <v>362</v>
      </c>
      <c r="H149" s="4"/>
    </row>
    <row r="150" spans="1:8" ht="47.25" x14ac:dyDescent="0.25">
      <c r="A150" s="70">
        <v>137</v>
      </c>
      <c r="B150" s="49"/>
      <c r="C150" s="9" t="s">
        <v>237</v>
      </c>
      <c r="D150" s="9" t="s">
        <v>238</v>
      </c>
      <c r="E150" s="55">
        <v>2952000</v>
      </c>
      <c r="F150" s="12">
        <f t="shared" si="2"/>
        <v>2656800</v>
      </c>
      <c r="G150" s="97"/>
      <c r="H150" s="4"/>
    </row>
    <row r="151" spans="1:8" ht="47.25" x14ac:dyDescent="0.25">
      <c r="A151" s="70">
        <v>138</v>
      </c>
      <c r="B151" s="49"/>
      <c r="C151" s="9" t="s">
        <v>239</v>
      </c>
      <c r="D151" s="9" t="s">
        <v>240</v>
      </c>
      <c r="E151" s="55">
        <v>4100000</v>
      </c>
      <c r="F151" s="12">
        <f t="shared" si="2"/>
        <v>3690000</v>
      </c>
      <c r="G151" s="97"/>
      <c r="H151" s="4"/>
    </row>
    <row r="152" spans="1:8" ht="47.25" x14ac:dyDescent="0.25">
      <c r="A152" s="70">
        <v>139</v>
      </c>
      <c r="B152" s="49"/>
      <c r="C152" s="9" t="s">
        <v>241</v>
      </c>
      <c r="D152" s="9" t="s">
        <v>242</v>
      </c>
      <c r="E152" s="55">
        <v>550000</v>
      </c>
      <c r="F152" s="12">
        <f t="shared" si="2"/>
        <v>495000</v>
      </c>
      <c r="G152" s="53"/>
      <c r="H152" s="4"/>
    </row>
    <row r="153" spans="1:8" ht="78.75" x14ac:dyDescent="0.25">
      <c r="A153" s="70">
        <v>140</v>
      </c>
      <c r="B153" s="49"/>
      <c r="C153" s="9" t="s">
        <v>243</v>
      </c>
      <c r="D153" s="9" t="s">
        <v>244</v>
      </c>
      <c r="E153" s="55">
        <v>495000</v>
      </c>
      <c r="F153" s="12">
        <f t="shared" si="2"/>
        <v>445500</v>
      </c>
      <c r="G153" s="53" t="s">
        <v>346</v>
      </c>
      <c r="H153" s="4"/>
    </row>
    <row r="154" spans="1:8" x14ac:dyDescent="0.25">
      <c r="A154" s="70">
        <v>141</v>
      </c>
      <c r="B154" s="49"/>
      <c r="C154" s="9" t="s">
        <v>245</v>
      </c>
      <c r="D154" s="9" t="s">
        <v>246</v>
      </c>
      <c r="E154" s="55">
        <v>268000</v>
      </c>
      <c r="F154" s="12">
        <f t="shared" si="2"/>
        <v>241200</v>
      </c>
      <c r="G154" s="50"/>
      <c r="H154" s="4"/>
    </row>
    <row r="155" spans="1:8" x14ac:dyDescent="0.25">
      <c r="A155" s="70">
        <v>142</v>
      </c>
      <c r="B155" s="49"/>
      <c r="C155" s="9" t="s">
        <v>247</v>
      </c>
      <c r="D155" s="9" t="s">
        <v>248</v>
      </c>
      <c r="E155" s="55">
        <v>151000</v>
      </c>
      <c r="F155" s="12">
        <f t="shared" si="2"/>
        <v>135900</v>
      </c>
      <c r="G155" s="50"/>
      <c r="H155" s="4"/>
    </row>
    <row r="156" spans="1:8" x14ac:dyDescent="0.25">
      <c r="A156" s="70">
        <v>143</v>
      </c>
      <c r="B156" s="49"/>
      <c r="C156" s="9" t="s">
        <v>249</v>
      </c>
      <c r="D156" s="9" t="s">
        <v>250</v>
      </c>
      <c r="E156" s="55">
        <v>220000</v>
      </c>
      <c r="F156" s="12">
        <f t="shared" si="2"/>
        <v>198000</v>
      </c>
      <c r="G156" s="50"/>
      <c r="H156" s="4"/>
    </row>
    <row r="157" spans="1:8" s="22" customFormat="1" x14ac:dyDescent="0.25">
      <c r="A157" s="88" t="s">
        <v>347</v>
      </c>
      <c r="B157" s="88"/>
      <c r="C157" s="88"/>
      <c r="D157" s="88"/>
      <c r="E157" s="65"/>
      <c r="F157" s="65"/>
      <c r="G157" s="56"/>
      <c r="H157" s="21"/>
    </row>
    <row r="158" spans="1:8" ht="31.5" x14ac:dyDescent="0.25">
      <c r="A158" s="70">
        <v>144</v>
      </c>
      <c r="B158" s="49"/>
      <c r="C158" s="9" t="s">
        <v>251</v>
      </c>
      <c r="D158" s="9" t="s">
        <v>252</v>
      </c>
      <c r="E158" s="55">
        <v>390000</v>
      </c>
      <c r="F158" s="12">
        <f t="shared" si="2"/>
        <v>351000</v>
      </c>
      <c r="G158" s="50"/>
      <c r="H158" s="4"/>
    </row>
    <row r="159" spans="1:8" s="22" customFormat="1" x14ac:dyDescent="0.25">
      <c r="A159" s="88" t="s">
        <v>348</v>
      </c>
      <c r="B159" s="88"/>
      <c r="C159" s="88"/>
      <c r="D159" s="88"/>
      <c r="E159" s="65"/>
      <c r="F159" s="65"/>
      <c r="G159" s="56"/>
      <c r="H159" s="21"/>
    </row>
    <row r="160" spans="1:8" x14ac:dyDescent="0.25">
      <c r="A160" s="13">
        <v>145</v>
      </c>
      <c r="B160" s="54"/>
      <c r="C160" s="9" t="s">
        <v>349</v>
      </c>
      <c r="D160" s="9" t="s">
        <v>350</v>
      </c>
      <c r="E160" s="3">
        <v>165000</v>
      </c>
      <c r="F160" s="12" t="s">
        <v>283</v>
      </c>
      <c r="G160" s="50"/>
      <c r="H160" s="4"/>
    </row>
    <row r="161" spans="1:8" ht="31.5" x14ac:dyDescent="0.25">
      <c r="A161" s="13">
        <v>146</v>
      </c>
      <c r="B161" s="54"/>
      <c r="C161" s="9" t="s">
        <v>38</v>
      </c>
      <c r="D161" s="9" t="s">
        <v>39</v>
      </c>
      <c r="E161" s="3">
        <v>72000</v>
      </c>
      <c r="F161" s="12">
        <f t="shared" si="2"/>
        <v>64800</v>
      </c>
      <c r="G161" s="50"/>
      <c r="H161" s="4"/>
    </row>
    <row r="162" spans="1:8" ht="31.5" x14ac:dyDescent="0.25">
      <c r="A162" s="13">
        <v>147</v>
      </c>
      <c r="B162" s="54"/>
      <c r="C162" s="9" t="s">
        <v>40</v>
      </c>
      <c r="D162" s="9" t="s">
        <v>41</v>
      </c>
      <c r="E162" s="3">
        <v>329000</v>
      </c>
      <c r="F162" s="12">
        <f t="shared" si="2"/>
        <v>296100</v>
      </c>
      <c r="G162" s="50"/>
      <c r="H162" s="4"/>
    </row>
    <row r="163" spans="1:8" ht="47.25" x14ac:dyDescent="0.25">
      <c r="A163" s="13">
        <v>148</v>
      </c>
      <c r="B163" s="54"/>
      <c r="C163" s="9" t="s">
        <v>253</v>
      </c>
      <c r="D163" s="9" t="s">
        <v>254</v>
      </c>
      <c r="E163" s="3">
        <v>605000</v>
      </c>
      <c r="F163" s="12">
        <f t="shared" si="2"/>
        <v>544500</v>
      </c>
      <c r="G163" s="50"/>
      <c r="H163" s="4"/>
    </row>
    <row r="164" spans="1:8" ht="47.25" x14ac:dyDescent="0.25">
      <c r="A164" s="13">
        <v>149</v>
      </c>
      <c r="B164" s="54"/>
      <c r="C164" s="61" t="s">
        <v>255</v>
      </c>
      <c r="D164" s="61" t="s">
        <v>256</v>
      </c>
      <c r="E164" s="3">
        <v>1100000</v>
      </c>
      <c r="F164" s="12">
        <f t="shared" si="2"/>
        <v>990000</v>
      </c>
      <c r="G164" s="50"/>
      <c r="H164" s="4"/>
    </row>
    <row r="165" spans="1:8" ht="31.5" x14ac:dyDescent="0.25">
      <c r="A165" s="13">
        <v>150</v>
      </c>
      <c r="B165" s="54"/>
      <c r="C165" s="61" t="s">
        <v>257</v>
      </c>
      <c r="D165" s="61" t="s">
        <v>258</v>
      </c>
      <c r="E165" s="3">
        <v>187000</v>
      </c>
      <c r="F165" s="12">
        <f t="shared" si="2"/>
        <v>168300</v>
      </c>
      <c r="G165" s="50"/>
      <c r="H165" s="4"/>
    </row>
    <row r="166" spans="1:8" x14ac:dyDescent="0.25">
      <c r="A166" s="13">
        <v>151</v>
      </c>
      <c r="B166" s="54"/>
      <c r="C166" s="9" t="s">
        <v>259</v>
      </c>
      <c r="D166" s="9" t="s">
        <v>260</v>
      </c>
      <c r="E166" s="3">
        <v>220000</v>
      </c>
      <c r="F166" s="12">
        <f t="shared" si="2"/>
        <v>198000</v>
      </c>
      <c r="G166" s="50"/>
      <c r="H166" s="4"/>
    </row>
    <row r="167" spans="1:8" ht="47.25" x14ac:dyDescent="0.25">
      <c r="A167" s="13">
        <v>152</v>
      </c>
      <c r="B167" s="54"/>
      <c r="C167" s="9" t="s">
        <v>261</v>
      </c>
      <c r="D167" s="9" t="s">
        <v>262</v>
      </c>
      <c r="E167" s="3">
        <v>817000</v>
      </c>
      <c r="F167" s="12">
        <f t="shared" si="2"/>
        <v>735300</v>
      </c>
      <c r="G167" s="50"/>
      <c r="H167" s="4"/>
    </row>
    <row r="168" spans="1:8" ht="31.5" x14ac:dyDescent="0.25">
      <c r="A168" s="13">
        <v>153</v>
      </c>
      <c r="B168" s="54"/>
      <c r="C168" s="9" t="s">
        <v>351</v>
      </c>
      <c r="D168" s="9" t="s">
        <v>352</v>
      </c>
      <c r="E168" s="55">
        <v>220000</v>
      </c>
      <c r="F168" s="12">
        <f t="shared" si="2"/>
        <v>198000</v>
      </c>
      <c r="G168" s="50"/>
      <c r="H168" s="4"/>
    </row>
    <row r="169" spans="1:8" s="22" customFormat="1" x14ac:dyDescent="0.25">
      <c r="A169" s="87" t="s">
        <v>353</v>
      </c>
      <c r="B169" s="87"/>
      <c r="C169" s="87"/>
      <c r="D169" s="87"/>
      <c r="E169" s="47"/>
      <c r="F169" s="47"/>
      <c r="G169" s="56"/>
      <c r="H169" s="21"/>
    </row>
    <row r="170" spans="1:8" x14ac:dyDescent="0.25">
      <c r="A170" s="13">
        <v>154</v>
      </c>
      <c r="B170" s="54"/>
      <c r="C170" s="9" t="s">
        <v>354</v>
      </c>
      <c r="D170" s="9"/>
      <c r="E170" s="55">
        <v>165000</v>
      </c>
      <c r="F170" s="12">
        <f t="shared" si="2"/>
        <v>148500</v>
      </c>
      <c r="G170" s="50"/>
      <c r="H170" s="4"/>
    </row>
    <row r="171" spans="1:8" x14ac:dyDescent="0.25">
      <c r="A171" s="13">
        <v>155</v>
      </c>
      <c r="B171" s="54"/>
      <c r="C171" s="9" t="s">
        <v>263</v>
      </c>
      <c r="D171" s="9" t="s">
        <v>264</v>
      </c>
      <c r="E171" s="55">
        <v>220000</v>
      </c>
      <c r="F171" s="12">
        <f t="shared" si="2"/>
        <v>198000</v>
      </c>
      <c r="G171" s="50"/>
      <c r="H171" s="4"/>
    </row>
    <row r="172" spans="1:8" ht="94.5" x14ac:dyDescent="0.25">
      <c r="A172" s="13">
        <v>156</v>
      </c>
      <c r="B172" s="54"/>
      <c r="C172" s="9" t="s">
        <v>265</v>
      </c>
      <c r="D172" s="9" t="s">
        <v>266</v>
      </c>
      <c r="E172" s="55">
        <v>380000</v>
      </c>
      <c r="F172" s="12">
        <f t="shared" si="2"/>
        <v>342000</v>
      </c>
      <c r="G172" s="50"/>
      <c r="H172" s="4"/>
    </row>
    <row r="173" spans="1:8" ht="78.75" x14ac:dyDescent="0.25">
      <c r="A173" s="13">
        <v>157</v>
      </c>
      <c r="B173" s="54"/>
      <c r="C173" s="9" t="s">
        <v>267</v>
      </c>
      <c r="D173" s="9" t="s">
        <v>268</v>
      </c>
      <c r="E173" s="55">
        <v>4500000</v>
      </c>
      <c r="F173" s="55">
        <v>4500000</v>
      </c>
      <c r="G173" s="50"/>
      <c r="H173" s="4"/>
    </row>
    <row r="174" spans="1:8" ht="47.25" x14ac:dyDescent="0.25">
      <c r="A174" s="13">
        <v>158</v>
      </c>
      <c r="B174" s="54"/>
      <c r="C174" s="9" t="s">
        <v>269</v>
      </c>
      <c r="D174" s="9" t="s">
        <v>270</v>
      </c>
      <c r="E174" s="55">
        <v>3200000</v>
      </c>
      <c r="F174" s="55">
        <v>3200000</v>
      </c>
      <c r="G174" s="50"/>
      <c r="H174" s="4"/>
    </row>
    <row r="175" spans="1:8" s="22" customFormat="1" x14ac:dyDescent="0.25">
      <c r="A175" s="87" t="s">
        <v>355</v>
      </c>
      <c r="B175" s="87"/>
      <c r="C175" s="87"/>
      <c r="D175" s="87"/>
      <c r="E175" s="47"/>
      <c r="F175" s="47"/>
      <c r="G175" s="56"/>
      <c r="H175" s="21"/>
    </row>
    <row r="176" spans="1:8" x14ac:dyDescent="0.25">
      <c r="A176" s="13">
        <v>159</v>
      </c>
      <c r="B176" s="54"/>
      <c r="C176" s="71" t="s">
        <v>271</v>
      </c>
      <c r="D176" s="71" t="s">
        <v>272</v>
      </c>
      <c r="E176" s="72">
        <v>233000</v>
      </c>
      <c r="F176" s="12">
        <f t="shared" si="2"/>
        <v>209700</v>
      </c>
      <c r="G176" s="50"/>
      <c r="H176" s="4"/>
    </row>
    <row r="177" spans="1:8" x14ac:dyDescent="0.25">
      <c r="A177" s="13">
        <v>160</v>
      </c>
      <c r="B177" s="54"/>
      <c r="C177" s="73" t="s">
        <v>273</v>
      </c>
      <c r="D177" s="73" t="s">
        <v>274</v>
      </c>
      <c r="E177" s="74">
        <v>227000</v>
      </c>
      <c r="F177" s="12">
        <f t="shared" si="2"/>
        <v>204300</v>
      </c>
      <c r="G177" s="50"/>
      <c r="H177" s="4"/>
    </row>
    <row r="178" spans="1:8" x14ac:dyDescent="0.25">
      <c r="A178" s="13">
        <v>161</v>
      </c>
      <c r="B178" s="54"/>
      <c r="C178" s="73" t="s">
        <v>275</v>
      </c>
      <c r="D178" s="73" t="s">
        <v>276</v>
      </c>
      <c r="E178" s="74">
        <v>72000</v>
      </c>
      <c r="F178" s="12">
        <f t="shared" si="2"/>
        <v>64800</v>
      </c>
      <c r="G178" s="50"/>
      <c r="H178" s="4"/>
    </row>
    <row r="179" spans="1:8" s="22" customFormat="1" x14ac:dyDescent="0.25">
      <c r="A179" s="87" t="s">
        <v>356</v>
      </c>
      <c r="B179" s="87"/>
      <c r="C179" s="87"/>
      <c r="D179" s="87"/>
      <c r="E179" s="75"/>
      <c r="F179" s="75"/>
      <c r="G179" s="56"/>
      <c r="H179" s="21"/>
    </row>
    <row r="180" spans="1:8" x14ac:dyDescent="0.25">
      <c r="A180" s="81">
        <v>162</v>
      </c>
      <c r="B180" s="84" t="s">
        <v>365</v>
      </c>
      <c r="C180" s="9" t="s">
        <v>277</v>
      </c>
      <c r="D180" s="9"/>
      <c r="E180" s="95">
        <v>183000</v>
      </c>
      <c r="F180" s="91">
        <f>E180*0.9</f>
        <v>164700</v>
      </c>
      <c r="G180" s="50"/>
      <c r="H180" s="4"/>
    </row>
    <row r="181" spans="1:8" x14ac:dyDescent="0.25">
      <c r="A181" s="82"/>
      <c r="B181" s="85"/>
      <c r="C181" s="9" t="s">
        <v>278</v>
      </c>
      <c r="D181" s="9"/>
      <c r="E181" s="95"/>
      <c r="F181" s="91"/>
      <c r="G181" s="50"/>
      <c r="H181" s="4"/>
    </row>
    <row r="182" spans="1:8" x14ac:dyDescent="0.25">
      <c r="A182" s="82"/>
      <c r="B182" s="85"/>
      <c r="C182" s="9" t="s">
        <v>279</v>
      </c>
      <c r="D182" s="9"/>
      <c r="E182" s="95"/>
      <c r="F182" s="91"/>
      <c r="G182" s="50"/>
      <c r="H182" s="4"/>
    </row>
    <row r="183" spans="1:8" x14ac:dyDescent="0.25">
      <c r="A183" s="83"/>
      <c r="B183" s="86"/>
      <c r="C183" s="9" t="s">
        <v>280</v>
      </c>
      <c r="D183" s="9"/>
      <c r="E183" s="95"/>
      <c r="F183" s="91"/>
      <c r="G183" s="50"/>
      <c r="H183" s="4"/>
    </row>
    <row r="184" spans="1:8" s="22" customFormat="1" x14ac:dyDescent="0.25">
      <c r="A184" s="87" t="s">
        <v>357</v>
      </c>
      <c r="B184" s="87"/>
      <c r="C184" s="87"/>
      <c r="D184" s="87"/>
      <c r="E184" s="75"/>
      <c r="F184" s="75"/>
      <c r="G184" s="56"/>
      <c r="H184" s="21"/>
    </row>
    <row r="185" spans="1:8" ht="31.5" x14ac:dyDescent="0.25">
      <c r="A185" s="13">
        <v>163</v>
      </c>
      <c r="B185" s="54"/>
      <c r="C185" s="9" t="s">
        <v>358</v>
      </c>
      <c r="D185" s="9"/>
      <c r="E185" s="76">
        <v>205000</v>
      </c>
      <c r="F185" s="76">
        <v>205000</v>
      </c>
      <c r="G185" s="50"/>
      <c r="H185" s="4"/>
    </row>
    <row r="186" spans="1:8" ht="31.5" x14ac:dyDescent="0.25">
      <c r="A186" s="13">
        <v>163</v>
      </c>
      <c r="B186" s="54"/>
      <c r="C186" s="9" t="s">
        <v>359</v>
      </c>
      <c r="D186" s="9"/>
      <c r="E186" s="76">
        <v>340000</v>
      </c>
      <c r="F186" s="76">
        <v>340000</v>
      </c>
      <c r="G186" s="50"/>
      <c r="H186" s="4"/>
    </row>
    <row r="187" spans="1:8" ht="31.5" x14ac:dyDescent="0.25">
      <c r="A187" s="13">
        <v>163</v>
      </c>
      <c r="B187" s="54"/>
      <c r="C187" s="9" t="s">
        <v>360</v>
      </c>
      <c r="D187" s="9"/>
      <c r="E187" s="76">
        <v>1700000</v>
      </c>
      <c r="F187" s="76">
        <v>1700000</v>
      </c>
      <c r="G187" s="50"/>
      <c r="H187" s="4"/>
    </row>
    <row r="188" spans="1:8" s="18" customFormat="1" x14ac:dyDescent="0.25">
      <c r="A188" s="13">
        <v>163</v>
      </c>
      <c r="B188" s="54"/>
      <c r="C188" s="9" t="s">
        <v>361</v>
      </c>
      <c r="D188" s="9"/>
      <c r="E188" s="76">
        <v>1360000</v>
      </c>
      <c r="F188" s="76">
        <v>1360000</v>
      </c>
      <c r="G188" s="50"/>
      <c r="H188" s="17"/>
    </row>
    <row r="189" spans="1:8" s="7" customFormat="1" x14ac:dyDescent="0.25">
      <c r="A189" s="19"/>
      <c r="B189" s="77"/>
      <c r="C189" s="78"/>
      <c r="D189" s="78"/>
      <c r="E189" s="79"/>
      <c r="F189" s="79"/>
      <c r="G189" s="80"/>
    </row>
    <row r="190" spans="1:8" s="7" customFormat="1" x14ac:dyDescent="0.25">
      <c r="B190" s="24"/>
      <c r="E190" s="20"/>
      <c r="F190" s="20"/>
      <c r="G190" s="29"/>
    </row>
    <row r="191" spans="1:8" s="7" customFormat="1" x14ac:dyDescent="0.25">
      <c r="B191" s="24"/>
      <c r="E191" s="20"/>
      <c r="F191" s="20"/>
      <c r="G191" s="29"/>
    </row>
    <row r="192" spans="1:8" s="7" customFormat="1" x14ac:dyDescent="0.25">
      <c r="B192" s="24"/>
      <c r="E192" s="20"/>
      <c r="F192" s="20"/>
      <c r="G192" s="29"/>
    </row>
    <row r="193" spans="2:7" s="7" customFormat="1" x14ac:dyDescent="0.25">
      <c r="B193" s="24"/>
      <c r="E193" s="20"/>
      <c r="F193" s="20"/>
      <c r="G193" s="29"/>
    </row>
    <row r="194" spans="2:7" s="7" customFormat="1" x14ac:dyDescent="0.25">
      <c r="B194" s="24"/>
      <c r="E194" s="20"/>
      <c r="F194" s="20"/>
      <c r="G194" s="29"/>
    </row>
    <row r="195" spans="2:7" s="7" customFormat="1" x14ac:dyDescent="0.25">
      <c r="B195" s="24"/>
      <c r="E195" s="20"/>
      <c r="F195" s="20"/>
      <c r="G195" s="29"/>
    </row>
    <row r="196" spans="2:7" s="7" customFormat="1" x14ac:dyDescent="0.25">
      <c r="B196" s="24"/>
      <c r="E196" s="20"/>
      <c r="F196" s="20"/>
      <c r="G196" s="29"/>
    </row>
    <row r="197" spans="2:7" s="7" customFormat="1" x14ac:dyDescent="0.25">
      <c r="B197" s="24"/>
      <c r="E197" s="20"/>
      <c r="F197" s="20"/>
      <c r="G197" s="29"/>
    </row>
    <row r="198" spans="2:7" s="10" customFormat="1" x14ac:dyDescent="0.25">
      <c r="B198" s="25"/>
      <c r="E198" s="11"/>
      <c r="F198" s="11"/>
      <c r="G198" s="30"/>
    </row>
  </sheetData>
  <mergeCells count="50">
    <mergeCell ref="B4:C4"/>
    <mergeCell ref="B10:B11"/>
    <mergeCell ref="B12:B16"/>
    <mergeCell ref="B26:B27"/>
    <mergeCell ref="B45:B47"/>
    <mergeCell ref="D45:D47"/>
    <mergeCell ref="G12:G16"/>
    <mergeCell ref="B18:B20"/>
    <mergeCell ref="G18:G20"/>
    <mergeCell ref="B21:B24"/>
    <mergeCell ref="G22:G24"/>
    <mergeCell ref="G26:G27"/>
    <mergeCell ref="B29:B30"/>
    <mergeCell ref="G29:G30"/>
    <mergeCell ref="A31:D31"/>
    <mergeCell ref="B32:B44"/>
    <mergeCell ref="B48:B51"/>
    <mergeCell ref="D48:D49"/>
    <mergeCell ref="A86:D86"/>
    <mergeCell ref="A89:D89"/>
    <mergeCell ref="A52:D52"/>
    <mergeCell ref="B53:B60"/>
    <mergeCell ref="B61:B62"/>
    <mergeCell ref="B63:B65"/>
    <mergeCell ref="A66:D66"/>
    <mergeCell ref="F180:F183"/>
    <mergeCell ref="B90:B92"/>
    <mergeCell ref="B94:B99"/>
    <mergeCell ref="A169:D169"/>
    <mergeCell ref="A175:D175"/>
    <mergeCell ref="A179:D179"/>
    <mergeCell ref="E180:E183"/>
    <mergeCell ref="G146:G147"/>
    <mergeCell ref="A148:D148"/>
    <mergeCell ref="G149:G151"/>
    <mergeCell ref="A157:D157"/>
    <mergeCell ref="A159:D159"/>
    <mergeCell ref="A180:A183"/>
    <mergeCell ref="B180:B183"/>
    <mergeCell ref="A184:D184"/>
    <mergeCell ref="A140:D140"/>
    <mergeCell ref="B143:B144"/>
    <mergeCell ref="A145:D145"/>
    <mergeCell ref="B100:B104"/>
    <mergeCell ref="B105:B109"/>
    <mergeCell ref="B110:B139"/>
    <mergeCell ref="B67:B68"/>
    <mergeCell ref="B69:B70"/>
    <mergeCell ref="B72:B85"/>
    <mergeCell ref="G45:G47"/>
  </mergeCells>
  <conditionalFormatting sqref="C93">
    <cfRule type="duplicateValues" dxfId="0" priority="1"/>
  </conditionalFormatting>
  <printOptions horizontalCentered="1"/>
  <pageMargins left="0.25" right="0" top="0.25" bottom="0.25" header="0.31496062992126" footer="0.31496062992126"/>
  <pageSetup scale="4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GÓI KHÁM</vt:lpstr>
      <vt:lpstr>'GÓI KHÁM'!Print_Area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2025-04-22T04:06:39Z</cp:lastPrinted>
  <dcterms:created xsi:type="dcterms:W3CDTF">2022-03-17T08:23:25Z</dcterms:created>
  <dcterms:modified xsi:type="dcterms:W3CDTF">2025-05-21T06:21:52Z</dcterms:modified>
</cp:coreProperties>
</file>