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-TN\Hoàng\2025\T6\NGÂN HÀNG NÔNG NGHIỆP VÀ PHÁT TRIỂN NÔNG THÔN VIỆT NAM - CHI NHÁNH CHỢ MỚI NAM ĐÀ NẴNG (105-2025) (TB 67-2025)\"/>
    </mc:Choice>
  </mc:AlternateContent>
  <xr:revisionPtr revIDLastSave="0" documentId="13_ncr:1_{5CB52273-A7F2-42A8-ADDE-1CA9A99C84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hập danh sách" sheetId="1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4" i="1"/>
</calcChain>
</file>

<file path=xl/sharedStrings.xml><?xml version="1.0" encoding="utf-8"?>
<sst xmlns="http://schemas.openxmlformats.org/spreadsheetml/2006/main" count="430" uniqueCount="115">
  <si>
    <t>STT</t>
  </si>
  <si>
    <t>Mã số</t>
  </si>
  <si>
    <t>STT Nhân viên</t>
  </si>
  <si>
    <t>Họ và tên</t>
  </si>
  <si>
    <t>Ngày sinh</t>
  </si>
  <si>
    <t>Tháng sinh</t>
  </si>
  <si>
    <t>Năm sinh</t>
  </si>
  <si>
    <t>Giới tính</t>
  </si>
  <si>
    <t>Có GĐ</t>
  </si>
  <si>
    <t>Người nhà</t>
  </si>
  <si>
    <t>Bộ phận</t>
  </si>
  <si>
    <t>Chức danh</t>
  </si>
  <si>
    <t>Nhân viên mới</t>
  </si>
  <si>
    <t>CMND/CCCD</t>
  </si>
  <si>
    <t>Điện thoại</t>
  </si>
  <si>
    <t>Email</t>
  </si>
  <si>
    <t>Khám Nội-Khám Sức Khỏe (TT32_BYT)</t>
  </si>
  <si>
    <t>Khám Ngoại-Khám Sức Khỏe (TT32_BYT)</t>
  </si>
  <si>
    <t>Khám TMH-Khám Sức Khỏe (TT32_BYT)</t>
  </si>
  <si>
    <t>Khám RHM-Khám Sức Khỏe (TT32_BYT)</t>
  </si>
  <si>
    <t>Khám Da Liễu-Khám Sức Khỏe (TT32_BYT)</t>
  </si>
  <si>
    <t>Khám Mắt-Khám Sức Khỏe (TT32_BYT)</t>
  </si>
  <si>
    <t>Khám SPK-Khám Sức Khỏe (TT32_BYT)</t>
  </si>
  <si>
    <t>Khám vú</t>
  </si>
  <si>
    <t>Chụp X-quang tim phổi kỹ thuật số (hãng Fuji-Nhật)</t>
  </si>
  <si>
    <t>Tổng phân tích tế bào máu bằng máy laser</t>
  </si>
  <si>
    <t>Định lượng GLUCOSE máu</t>
  </si>
  <si>
    <t>NƯỚC TIỂU 10 THÔNG SỐ (KSK)</t>
  </si>
  <si>
    <t>AST (SGOT)</t>
  </si>
  <si>
    <t>ALT (SGPT)</t>
  </si>
  <si>
    <t>Định lượng CREATINIE máu</t>
  </si>
  <si>
    <t>Tổng Kết Hồ Sơ Khám Sức Khỏe (TT32_BYT)</t>
  </si>
  <si>
    <t>END</t>
  </si>
  <si>
    <t>Mã dịch vụ</t>
  </si>
  <si>
    <t>DV04553</t>
  </si>
  <si>
    <t>DV04554</t>
  </si>
  <si>
    <t>DV04557</t>
  </si>
  <si>
    <t>DV04558</t>
  </si>
  <si>
    <t>DV04559</t>
  </si>
  <si>
    <t>DV04556</t>
  </si>
  <si>
    <t>DV04555</t>
  </si>
  <si>
    <t>DV00107</t>
  </si>
  <si>
    <t>DV01662</t>
  </si>
  <si>
    <t>XN012</t>
  </si>
  <si>
    <t>XN224</t>
  </si>
  <si>
    <t>DV00538</t>
  </si>
  <si>
    <t>XN228</t>
  </si>
  <si>
    <t>XN227</t>
  </si>
  <si>
    <t>XN223</t>
  </si>
  <si>
    <t>DV04560</t>
  </si>
  <si>
    <t>Giá dịch vụ</t>
  </si>
  <si>
    <t/>
  </si>
  <si>
    <t>Ông Hùng Cường</t>
  </si>
  <si>
    <t>Nguyễn Thanh Trí</t>
  </si>
  <si>
    <t>Tạ Thị Phương Thảo</t>
  </si>
  <si>
    <t>Nguyễn Thị Thùy Liên</t>
  </si>
  <si>
    <t>Nguyễn Thị Thảo</t>
  </si>
  <si>
    <t>Nguyễn Thị Lệ Hà</t>
  </si>
  <si>
    <t>Nguyễn Thị Thiên Thanh</t>
  </si>
  <si>
    <t>Trần Việt Quốc</t>
  </si>
  <si>
    <t>Trần Thị Thùy Linh</t>
  </si>
  <si>
    <t>Bùi Thị Thùy Trâm</t>
  </si>
  <si>
    <t>Phạm Thị Mỹ Phương</t>
  </si>
  <si>
    <t>Trần Thị Tuyết Ánh</t>
  </si>
  <si>
    <t>Phạm Duy Quang</t>
  </si>
  <si>
    <t>Hồ Tất Minh Hiểu</t>
  </si>
  <si>
    <t>Vũ Thị Minh Hạnh</t>
  </si>
  <si>
    <t>Lê Hoàng Yến</t>
  </si>
  <si>
    <t>Huỳnh Quảng</t>
  </si>
  <si>
    <t>Trần Văn Thanh</t>
  </si>
  <si>
    <t>Giám đốc</t>
  </si>
  <si>
    <t>P Giám đốc</t>
  </si>
  <si>
    <t>TP KT-NQ</t>
  </si>
  <si>
    <t>PPT KH</t>
  </si>
  <si>
    <t>PP KT-NQ</t>
  </si>
  <si>
    <t>PP KH</t>
  </si>
  <si>
    <t>NV KT-NQ</t>
  </si>
  <si>
    <t>NV KH</t>
  </si>
  <si>
    <t>Tạp vụ</t>
  </si>
  <si>
    <t>Lái Xe</t>
  </si>
  <si>
    <t>Giữ Xe</t>
  </si>
  <si>
    <t>Nam</t>
  </si>
  <si>
    <t>Nữ</t>
  </si>
  <si>
    <t>0903542186</t>
  </si>
  <si>
    <t>0905305304</t>
  </si>
  <si>
    <t>0935653536</t>
  </si>
  <si>
    <t>0935521904</t>
  </si>
  <si>
    <t>0918214241</t>
  </si>
  <si>
    <t>0913857357</t>
  </si>
  <si>
    <t>x</t>
  </si>
  <si>
    <t>NV01</t>
  </si>
  <si>
    <t>NV02</t>
  </si>
  <si>
    <t>Đinh Viết Châu Khoa</t>
  </si>
  <si>
    <t>NV03</t>
  </si>
  <si>
    <t>NV04</t>
  </si>
  <si>
    <t>Nguyễn Viết Vũ</t>
  </si>
  <si>
    <t>NV05</t>
  </si>
  <si>
    <t>Trương Công Quang Vũ</t>
  </si>
  <si>
    <t>NV06</t>
  </si>
  <si>
    <t>NV07</t>
  </si>
  <si>
    <t>Trương Công Nhật Hoàng</t>
  </si>
  <si>
    <t>NV08</t>
  </si>
  <si>
    <t>NV09</t>
  </si>
  <si>
    <t>NV10</t>
  </si>
  <si>
    <t>NV11</t>
  </si>
  <si>
    <t>NV12</t>
  </si>
  <si>
    <t>NV13</t>
  </si>
  <si>
    <t>NV14</t>
  </si>
  <si>
    <t>Trần Thị tuyết Ánh</t>
  </si>
  <si>
    <t>NV15</t>
  </si>
  <si>
    <t>NV16</t>
  </si>
  <si>
    <t>NV17</t>
  </si>
  <si>
    <t>NV18</t>
  </si>
  <si>
    <t>NV19</t>
  </si>
  <si>
    <t>Nguyễn Thị Bích Hường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</si>
</sst>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  <charset val="163"/>
      <scheme val="minor"/>
    </font>
    <font>
      <sz val="12"/>
      <name val="Times New Roman"/>
      <family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15DC7138-4B10-4F30-ABFD-BB99EA89CE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1"/>
  <sheetViews>
    <sheetView tabSelected="1" topLeftCell="A7" zoomScale="85" zoomScaleNormal="85" workbookViewId="0">
      <selection activeCell="K17" sqref="K17"/>
    </sheetView>
  </sheetViews>
  <sheetFormatPr defaultRowHeight="15" x14ac:dyDescent="0.25"/>
  <cols>
    <col min="4" max="4" width="25.7109375" bestFit="1" customWidth="1"/>
    <col min="15" max="15" width="12.85546875" bestFit="1" customWidth="1"/>
  </cols>
  <sheetData>
    <row r="1" spans="1:33" ht="99.9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</row>
    <row r="2" spans="1:33" x14ac:dyDescent="0.25">
      <c r="A2" s="11" t="s">
        <v>33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32</v>
      </c>
    </row>
    <row r="3" spans="1:33" x14ac:dyDescent="0.25">
      <c r="A3" s="13" t="s">
        <v>50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4">
        <v>100000</v>
      </c>
      <c r="R3" s="4">
        <v>10000</v>
      </c>
      <c r="S3" s="4">
        <v>10000</v>
      </c>
      <c r="T3" s="4">
        <v>10000</v>
      </c>
      <c r="U3" s="4">
        <v>10000</v>
      </c>
      <c r="V3" s="4">
        <v>10000</v>
      </c>
      <c r="W3" s="4" t="s">
        <v>51</v>
      </c>
      <c r="X3" s="4" t="s">
        <v>51</v>
      </c>
      <c r="Y3" s="4">
        <v>91800</v>
      </c>
      <c r="Z3" s="4">
        <v>67500</v>
      </c>
      <c r="AA3" s="4">
        <v>24300</v>
      </c>
      <c r="AB3" s="4">
        <v>53100</v>
      </c>
      <c r="AC3" s="4">
        <v>27000</v>
      </c>
      <c r="AD3" s="4">
        <v>27000</v>
      </c>
      <c r="AE3" s="4">
        <v>36900</v>
      </c>
      <c r="AF3" s="4" t="s">
        <v>51</v>
      </c>
      <c r="AG3" s="2" t="s">
        <v>32</v>
      </c>
    </row>
    <row r="4" spans="1:33" ht="31.5" x14ac:dyDescent="0.25">
      <c r="A4" s="5">
        <v>1</v>
      </c>
      <c r="B4" s="8" t="str">
        <f>VLOOKUP(D4,Sheet1!$B$1:$C$20,2,0)</f>
        <v>NV01</v>
      </c>
      <c r="C4" s="5">
        <v>1</v>
      </c>
      <c r="D4" s="10" t="s">
        <v>52</v>
      </c>
      <c r="E4" s="7"/>
      <c r="F4" s="7"/>
      <c r="G4" s="6">
        <v>1969</v>
      </c>
      <c r="H4" s="6" t="s">
        <v>81</v>
      </c>
      <c r="I4" s="7"/>
      <c r="J4" s="7"/>
      <c r="K4" s="7"/>
      <c r="L4" s="6" t="s">
        <v>70</v>
      </c>
      <c r="M4" s="7"/>
      <c r="N4" s="7"/>
      <c r="O4" s="8"/>
      <c r="P4" s="7"/>
      <c r="Q4" s="8" t="s">
        <v>89</v>
      </c>
      <c r="R4" s="8" t="s">
        <v>89</v>
      </c>
      <c r="S4" s="8" t="s">
        <v>89</v>
      </c>
      <c r="T4" s="8" t="s">
        <v>89</v>
      </c>
      <c r="U4" s="8" t="s">
        <v>89</v>
      </c>
      <c r="V4" s="8" t="s">
        <v>89</v>
      </c>
      <c r="W4" s="8"/>
      <c r="X4" s="8"/>
      <c r="Y4" s="8" t="s">
        <v>89</v>
      </c>
      <c r="Z4" s="8" t="s">
        <v>89</v>
      </c>
      <c r="AA4" s="8" t="s">
        <v>89</v>
      </c>
      <c r="AB4" s="8" t="s">
        <v>89</v>
      </c>
      <c r="AC4" s="8" t="s">
        <v>89</v>
      </c>
      <c r="AD4" s="8" t="s">
        <v>89</v>
      </c>
      <c r="AE4" s="8" t="s">
        <v>89</v>
      </c>
      <c r="AF4" s="8" t="s">
        <v>89</v>
      </c>
      <c r="AG4" s="3"/>
    </row>
    <row r="5" spans="1:33" ht="31.5" x14ac:dyDescent="0.25">
      <c r="A5" s="5">
        <v>2</v>
      </c>
      <c r="B5" s="8" t="str">
        <f>VLOOKUP(D5,Sheet1!$B$1:$C$20,2,0)</f>
        <v>NV03</v>
      </c>
      <c r="C5" s="5">
        <v>2</v>
      </c>
      <c r="D5" s="10" t="s">
        <v>53</v>
      </c>
      <c r="E5" s="3"/>
      <c r="F5" s="3"/>
      <c r="G5" s="6">
        <v>1986</v>
      </c>
      <c r="H5" s="6" t="s">
        <v>81</v>
      </c>
      <c r="I5" s="3"/>
      <c r="J5" s="3"/>
      <c r="K5" s="3"/>
      <c r="L5" s="6" t="s">
        <v>71</v>
      </c>
      <c r="M5" s="3"/>
      <c r="N5" s="3"/>
      <c r="O5" s="8"/>
      <c r="P5" s="3"/>
      <c r="Q5" s="8" t="s">
        <v>89</v>
      </c>
      <c r="R5" s="8" t="s">
        <v>89</v>
      </c>
      <c r="S5" s="8" t="s">
        <v>89</v>
      </c>
      <c r="T5" s="8" t="s">
        <v>89</v>
      </c>
      <c r="U5" s="8" t="s">
        <v>89</v>
      </c>
      <c r="V5" s="8" t="s">
        <v>89</v>
      </c>
      <c r="W5" s="8"/>
      <c r="X5" s="8"/>
      <c r="Y5" s="8" t="s">
        <v>89</v>
      </c>
      <c r="Z5" s="8" t="s">
        <v>89</v>
      </c>
      <c r="AA5" s="8" t="s">
        <v>89</v>
      </c>
      <c r="AB5" s="8" t="s">
        <v>89</v>
      </c>
      <c r="AC5" s="8" t="s">
        <v>89</v>
      </c>
      <c r="AD5" s="8" t="s">
        <v>89</v>
      </c>
      <c r="AE5" s="8" t="s">
        <v>89</v>
      </c>
      <c r="AF5" s="8" t="s">
        <v>89</v>
      </c>
      <c r="AG5" s="3"/>
    </row>
    <row r="6" spans="1:33" ht="31.5" x14ac:dyDescent="0.25">
      <c r="A6" s="5">
        <v>3</v>
      </c>
      <c r="B6" s="8" t="str">
        <f>VLOOKUP(D6,Sheet1!$B$1:$C$20,2,0)</f>
        <v>NV08</v>
      </c>
      <c r="C6" s="5">
        <v>3</v>
      </c>
      <c r="D6" s="10" t="s">
        <v>54</v>
      </c>
      <c r="E6" s="3"/>
      <c r="F6" s="3"/>
      <c r="G6" s="6">
        <v>1975</v>
      </c>
      <c r="H6" s="6" t="s">
        <v>82</v>
      </c>
      <c r="I6" s="3"/>
      <c r="J6" s="3"/>
      <c r="K6" s="3"/>
      <c r="L6" s="6" t="s">
        <v>71</v>
      </c>
      <c r="M6" s="3"/>
      <c r="N6" s="3"/>
      <c r="O6" s="8"/>
      <c r="P6" s="3"/>
      <c r="Q6" s="8" t="s">
        <v>89</v>
      </c>
      <c r="R6" s="8" t="s">
        <v>89</v>
      </c>
      <c r="S6" s="8" t="s">
        <v>89</v>
      </c>
      <c r="T6" s="8" t="s">
        <v>89</v>
      </c>
      <c r="U6" s="8" t="s">
        <v>89</v>
      </c>
      <c r="V6" s="8" t="s">
        <v>89</v>
      </c>
      <c r="W6" s="8" t="s">
        <v>89</v>
      </c>
      <c r="X6" s="8" t="s">
        <v>89</v>
      </c>
      <c r="Y6" s="8" t="s">
        <v>89</v>
      </c>
      <c r="Z6" s="8" t="s">
        <v>89</v>
      </c>
      <c r="AA6" s="8" t="s">
        <v>89</v>
      </c>
      <c r="AB6" s="8" t="s">
        <v>89</v>
      </c>
      <c r="AC6" s="8" t="s">
        <v>89</v>
      </c>
      <c r="AD6" s="8" t="s">
        <v>89</v>
      </c>
      <c r="AE6" s="8" t="s">
        <v>89</v>
      </c>
      <c r="AF6" s="8" t="s">
        <v>89</v>
      </c>
      <c r="AG6" s="3"/>
    </row>
    <row r="7" spans="1:33" ht="31.5" x14ac:dyDescent="0.25">
      <c r="A7" s="5">
        <v>4</v>
      </c>
      <c r="B7" s="8" t="str">
        <f>VLOOKUP(D7,Sheet1!$B$1:$C$20,2,0)</f>
        <v>NV11</v>
      </c>
      <c r="C7" s="5">
        <v>4</v>
      </c>
      <c r="D7" s="10" t="s">
        <v>55</v>
      </c>
      <c r="E7" s="3"/>
      <c r="F7" s="3"/>
      <c r="G7" s="6">
        <v>1984</v>
      </c>
      <c r="H7" s="6" t="s">
        <v>82</v>
      </c>
      <c r="I7" s="3"/>
      <c r="J7" s="3"/>
      <c r="K7" s="3"/>
      <c r="L7" s="6" t="s">
        <v>72</v>
      </c>
      <c r="M7" s="3"/>
      <c r="N7" s="3"/>
      <c r="O7" s="8"/>
      <c r="P7" s="3"/>
      <c r="Q7" s="8" t="s">
        <v>89</v>
      </c>
      <c r="R7" s="8" t="s">
        <v>89</v>
      </c>
      <c r="S7" s="8" t="s">
        <v>89</v>
      </c>
      <c r="T7" s="8" t="s">
        <v>89</v>
      </c>
      <c r="U7" s="8" t="s">
        <v>89</v>
      </c>
      <c r="V7" s="8" t="s">
        <v>89</v>
      </c>
      <c r="W7" s="8" t="s">
        <v>89</v>
      </c>
      <c r="X7" s="8" t="s">
        <v>89</v>
      </c>
      <c r="Y7" s="8" t="s">
        <v>89</v>
      </c>
      <c r="Z7" s="8" t="s">
        <v>89</v>
      </c>
      <c r="AA7" s="8" t="s">
        <v>89</v>
      </c>
      <c r="AB7" s="8" t="s">
        <v>89</v>
      </c>
      <c r="AC7" s="8" t="s">
        <v>89</v>
      </c>
      <c r="AD7" s="8" t="s">
        <v>89</v>
      </c>
      <c r="AE7" s="8" t="s">
        <v>89</v>
      </c>
      <c r="AF7" s="8" t="s">
        <v>89</v>
      </c>
      <c r="AG7" s="3"/>
    </row>
    <row r="8" spans="1:33" ht="15.75" x14ac:dyDescent="0.25">
      <c r="A8" s="5">
        <v>5</v>
      </c>
      <c r="B8" s="8" t="str">
        <f>VLOOKUP(D8,Sheet1!$B$1:$C$20,2,0)</f>
        <v>NV09</v>
      </c>
      <c r="C8" s="5">
        <v>5</v>
      </c>
      <c r="D8" s="10" t="s">
        <v>56</v>
      </c>
      <c r="E8" s="3"/>
      <c r="F8" s="3"/>
      <c r="G8" s="6">
        <v>1979</v>
      </c>
      <c r="H8" s="6" t="s">
        <v>82</v>
      </c>
      <c r="I8" s="3"/>
      <c r="J8" s="3"/>
      <c r="K8" s="3"/>
      <c r="L8" s="6" t="s">
        <v>73</v>
      </c>
      <c r="M8" s="3"/>
      <c r="N8" s="3"/>
      <c r="O8" s="9" t="s">
        <v>83</v>
      </c>
      <c r="P8" s="3"/>
      <c r="Q8" s="8" t="s">
        <v>89</v>
      </c>
      <c r="R8" s="8" t="s">
        <v>89</v>
      </c>
      <c r="S8" s="8" t="s">
        <v>89</v>
      </c>
      <c r="T8" s="8" t="s">
        <v>89</v>
      </c>
      <c r="U8" s="8" t="s">
        <v>89</v>
      </c>
      <c r="V8" s="8" t="s">
        <v>89</v>
      </c>
      <c r="W8" s="8" t="s">
        <v>89</v>
      </c>
      <c r="X8" s="8" t="s">
        <v>89</v>
      </c>
      <c r="Y8" s="8" t="s">
        <v>89</v>
      </c>
      <c r="Z8" s="8" t="s">
        <v>89</v>
      </c>
      <c r="AA8" s="8" t="s">
        <v>89</v>
      </c>
      <c r="AB8" s="8" t="s">
        <v>89</v>
      </c>
      <c r="AC8" s="8" t="s">
        <v>89</v>
      </c>
      <c r="AD8" s="8" t="s">
        <v>89</v>
      </c>
      <c r="AE8" s="8" t="s">
        <v>89</v>
      </c>
      <c r="AF8" s="8" t="s">
        <v>89</v>
      </c>
      <c r="AG8" s="3"/>
    </row>
    <row r="9" spans="1:33" ht="31.5" x14ac:dyDescent="0.25">
      <c r="A9" s="5">
        <v>6</v>
      </c>
      <c r="B9" s="8" t="str">
        <f>VLOOKUP(D9,Sheet1!$B$1:$C$20,2,0)</f>
        <v>NV12</v>
      </c>
      <c r="C9" s="5">
        <v>6</v>
      </c>
      <c r="D9" s="10" t="s">
        <v>57</v>
      </c>
      <c r="E9" s="3"/>
      <c r="F9" s="3"/>
      <c r="G9" s="6">
        <v>1985</v>
      </c>
      <c r="H9" s="6" t="s">
        <v>82</v>
      </c>
      <c r="I9" s="3"/>
      <c r="J9" s="3"/>
      <c r="K9" s="3"/>
      <c r="L9" s="6" t="s">
        <v>74</v>
      </c>
      <c r="M9" s="3"/>
      <c r="N9" s="3"/>
      <c r="O9" s="8"/>
      <c r="P9" s="3"/>
      <c r="Q9" s="8" t="s">
        <v>89</v>
      </c>
      <c r="R9" s="8" t="s">
        <v>89</v>
      </c>
      <c r="S9" s="8" t="s">
        <v>89</v>
      </c>
      <c r="T9" s="8" t="s">
        <v>89</v>
      </c>
      <c r="U9" s="8" t="s">
        <v>89</v>
      </c>
      <c r="V9" s="8" t="s">
        <v>89</v>
      </c>
      <c r="W9" s="8" t="s">
        <v>89</v>
      </c>
      <c r="X9" s="8" t="s">
        <v>89</v>
      </c>
      <c r="Y9" s="8" t="s">
        <v>89</v>
      </c>
      <c r="Z9" s="8" t="s">
        <v>89</v>
      </c>
      <c r="AA9" s="8" t="s">
        <v>89</v>
      </c>
      <c r="AB9" s="8" t="s">
        <v>89</v>
      </c>
      <c r="AC9" s="8" t="s">
        <v>89</v>
      </c>
      <c r="AD9" s="8" t="s">
        <v>89</v>
      </c>
      <c r="AE9" s="8" t="s">
        <v>89</v>
      </c>
      <c r="AF9" s="8" t="s">
        <v>89</v>
      </c>
      <c r="AG9" s="3"/>
    </row>
    <row r="10" spans="1:33" ht="31.5" x14ac:dyDescent="0.25">
      <c r="A10" s="5">
        <v>7</v>
      </c>
      <c r="B10" s="8" t="e">
        <f>VLOOKUP(D10,Sheet1!$B$1:$C$20,2,0)</f>
        <v>#N/A</v>
      </c>
      <c r="C10" s="5">
        <v>7</v>
      </c>
      <c r="D10" s="10" t="s">
        <v>58</v>
      </c>
      <c r="E10" s="3"/>
      <c r="F10" s="3"/>
      <c r="G10" s="6">
        <v>1983</v>
      </c>
      <c r="H10" s="6" t="s">
        <v>82</v>
      </c>
      <c r="I10" s="3"/>
      <c r="J10" s="3"/>
      <c r="K10" s="3"/>
      <c r="L10" s="6" t="s">
        <v>74</v>
      </c>
      <c r="M10" s="3"/>
      <c r="N10" s="3"/>
      <c r="O10" s="9" t="s">
        <v>84</v>
      </c>
      <c r="P10" s="3"/>
      <c r="Q10" s="8" t="s">
        <v>89</v>
      </c>
      <c r="R10" s="8" t="s">
        <v>89</v>
      </c>
      <c r="S10" s="8" t="s">
        <v>89</v>
      </c>
      <c r="T10" s="8" t="s">
        <v>89</v>
      </c>
      <c r="U10" s="8" t="s">
        <v>89</v>
      </c>
      <c r="V10" s="8" t="s">
        <v>89</v>
      </c>
      <c r="W10" s="8" t="s">
        <v>89</v>
      </c>
      <c r="X10" s="8" t="s">
        <v>89</v>
      </c>
      <c r="Y10" s="8" t="s">
        <v>89</v>
      </c>
      <c r="Z10" s="8" t="s">
        <v>89</v>
      </c>
      <c r="AA10" s="8" t="s">
        <v>89</v>
      </c>
      <c r="AB10" s="8" t="s">
        <v>89</v>
      </c>
      <c r="AC10" s="8" t="s">
        <v>89</v>
      </c>
      <c r="AD10" s="8" t="s">
        <v>89</v>
      </c>
      <c r="AE10" s="8" t="s">
        <v>89</v>
      </c>
      <c r="AF10" s="8" t="s">
        <v>89</v>
      </c>
      <c r="AG10" s="3"/>
    </row>
    <row r="11" spans="1:33" ht="15.75" x14ac:dyDescent="0.25">
      <c r="A11" s="5">
        <v>8</v>
      </c>
      <c r="B11" s="8" t="e">
        <f>VLOOKUP(D11,Sheet1!$B$1:$C$20,2,0)</f>
        <v>#N/A</v>
      </c>
      <c r="C11" s="5">
        <v>8</v>
      </c>
      <c r="D11" s="10" t="s">
        <v>59</v>
      </c>
      <c r="E11" s="3"/>
      <c r="F11" s="3"/>
      <c r="G11" s="6">
        <v>1983</v>
      </c>
      <c r="H11" s="6" t="s">
        <v>81</v>
      </c>
      <c r="I11" s="3"/>
      <c r="J11" s="3"/>
      <c r="K11" s="3"/>
      <c r="L11" s="6" t="s">
        <v>75</v>
      </c>
      <c r="M11" s="3"/>
      <c r="N11" s="3"/>
      <c r="O11" s="8"/>
      <c r="P11" s="3"/>
      <c r="Q11" s="8" t="s">
        <v>89</v>
      </c>
      <c r="R11" s="8" t="s">
        <v>89</v>
      </c>
      <c r="S11" s="8" t="s">
        <v>89</v>
      </c>
      <c r="T11" s="8" t="s">
        <v>89</v>
      </c>
      <c r="U11" s="8" t="s">
        <v>89</v>
      </c>
      <c r="V11" s="8" t="s">
        <v>89</v>
      </c>
      <c r="W11" s="8"/>
      <c r="X11" s="8"/>
      <c r="Y11" s="8" t="s">
        <v>89</v>
      </c>
      <c r="Z11" s="8" t="s">
        <v>89</v>
      </c>
      <c r="AA11" s="8" t="s">
        <v>89</v>
      </c>
      <c r="AB11" s="8" t="s">
        <v>89</v>
      </c>
      <c r="AC11" s="8" t="s">
        <v>89</v>
      </c>
      <c r="AD11" s="8" t="s">
        <v>89</v>
      </c>
      <c r="AE11" s="8" t="s">
        <v>89</v>
      </c>
      <c r="AF11" s="8" t="s">
        <v>89</v>
      </c>
      <c r="AG11" s="3"/>
    </row>
    <row r="12" spans="1:33" ht="31.5" x14ac:dyDescent="0.25">
      <c r="A12" s="5">
        <v>9</v>
      </c>
      <c r="B12" s="8" t="str">
        <f>VLOOKUP(D12,Sheet1!$B$1:$C$20,2,0)</f>
        <v>NV10</v>
      </c>
      <c r="C12" s="5">
        <v>9</v>
      </c>
      <c r="D12" s="10" t="s">
        <v>60</v>
      </c>
      <c r="E12" s="3"/>
      <c r="F12" s="3"/>
      <c r="G12" s="6">
        <v>1993</v>
      </c>
      <c r="H12" s="6" t="s">
        <v>82</v>
      </c>
      <c r="I12" s="3"/>
      <c r="J12" s="3"/>
      <c r="K12" s="3"/>
      <c r="L12" s="6" t="s">
        <v>76</v>
      </c>
      <c r="M12" s="3"/>
      <c r="N12" s="3"/>
      <c r="O12" s="9" t="s">
        <v>85</v>
      </c>
      <c r="P12" s="3"/>
      <c r="Q12" s="8" t="s">
        <v>89</v>
      </c>
      <c r="R12" s="8" t="s">
        <v>89</v>
      </c>
      <c r="S12" s="8" t="s">
        <v>89</v>
      </c>
      <c r="T12" s="8" t="s">
        <v>89</v>
      </c>
      <c r="U12" s="8" t="s">
        <v>89</v>
      </c>
      <c r="V12" s="8" t="s">
        <v>89</v>
      </c>
      <c r="W12" s="8" t="s">
        <v>89</v>
      </c>
      <c r="X12" s="8" t="s">
        <v>89</v>
      </c>
      <c r="Y12" s="8" t="s">
        <v>89</v>
      </c>
      <c r="Z12" s="8" t="s">
        <v>89</v>
      </c>
      <c r="AA12" s="8" t="s">
        <v>89</v>
      </c>
      <c r="AB12" s="8" t="s">
        <v>89</v>
      </c>
      <c r="AC12" s="8" t="s">
        <v>89</v>
      </c>
      <c r="AD12" s="8" t="s">
        <v>89</v>
      </c>
      <c r="AE12" s="8" t="s">
        <v>89</v>
      </c>
      <c r="AF12" s="8" t="s">
        <v>89</v>
      </c>
      <c r="AG12" s="3"/>
    </row>
    <row r="13" spans="1:33" ht="31.5" x14ac:dyDescent="0.25">
      <c r="A13" s="5">
        <v>10</v>
      </c>
      <c r="B13" s="8" t="str">
        <f>VLOOKUP(D13,Sheet1!$B$1:$C$20,2,0)</f>
        <v>NV13</v>
      </c>
      <c r="C13" s="5">
        <v>10</v>
      </c>
      <c r="D13" s="10" t="s">
        <v>61</v>
      </c>
      <c r="E13" s="3"/>
      <c r="F13" s="3"/>
      <c r="G13" s="6">
        <v>1975</v>
      </c>
      <c r="H13" s="6" t="s">
        <v>82</v>
      </c>
      <c r="I13" s="3"/>
      <c r="J13" s="3"/>
      <c r="K13" s="3"/>
      <c r="L13" s="6" t="s">
        <v>76</v>
      </c>
      <c r="M13" s="3"/>
      <c r="N13" s="3"/>
      <c r="O13" s="8"/>
      <c r="P13" s="3"/>
      <c r="Q13" s="8" t="s">
        <v>89</v>
      </c>
      <c r="R13" s="8" t="s">
        <v>89</v>
      </c>
      <c r="S13" s="8" t="s">
        <v>89</v>
      </c>
      <c r="T13" s="8" t="s">
        <v>89</v>
      </c>
      <c r="U13" s="8" t="s">
        <v>89</v>
      </c>
      <c r="V13" s="8" t="s">
        <v>89</v>
      </c>
      <c r="W13" s="8" t="s">
        <v>89</v>
      </c>
      <c r="X13" s="8" t="s">
        <v>89</v>
      </c>
      <c r="Y13" s="8" t="s">
        <v>89</v>
      </c>
      <c r="Z13" s="8" t="s">
        <v>89</v>
      </c>
      <c r="AA13" s="8" t="s">
        <v>89</v>
      </c>
      <c r="AB13" s="8" t="s">
        <v>89</v>
      </c>
      <c r="AC13" s="8" t="s">
        <v>89</v>
      </c>
      <c r="AD13" s="8" t="s">
        <v>89</v>
      </c>
      <c r="AE13" s="8" t="s">
        <v>89</v>
      </c>
      <c r="AF13" s="8" t="s">
        <v>89</v>
      </c>
      <c r="AG13" s="3"/>
    </row>
    <row r="14" spans="1:33" ht="31.5" x14ac:dyDescent="0.25">
      <c r="A14" s="5">
        <v>11</v>
      </c>
      <c r="B14" s="8" t="e">
        <f>VLOOKUP(D14,Sheet1!$B$1:$C$20,2,0)</f>
        <v>#N/A</v>
      </c>
      <c r="C14" s="5">
        <v>11</v>
      </c>
      <c r="D14" s="10" t="s">
        <v>62</v>
      </c>
      <c r="E14" s="3"/>
      <c r="F14" s="3"/>
      <c r="G14" s="6">
        <v>2000</v>
      </c>
      <c r="H14" s="6" t="s">
        <v>82</v>
      </c>
      <c r="I14" s="3"/>
      <c r="J14" s="3"/>
      <c r="K14" s="3"/>
      <c r="L14" s="6" t="s">
        <v>76</v>
      </c>
      <c r="M14" s="3"/>
      <c r="N14" s="3"/>
      <c r="O14" s="9" t="s">
        <v>86</v>
      </c>
      <c r="P14" s="3"/>
      <c r="Q14" s="8" t="s">
        <v>89</v>
      </c>
      <c r="R14" s="8" t="s">
        <v>89</v>
      </c>
      <c r="S14" s="8" t="s">
        <v>89</v>
      </c>
      <c r="T14" s="8" t="s">
        <v>89</v>
      </c>
      <c r="U14" s="8" t="s">
        <v>89</v>
      </c>
      <c r="V14" s="8" t="s">
        <v>89</v>
      </c>
      <c r="W14" s="8" t="s">
        <v>89</v>
      </c>
      <c r="X14" s="8" t="s">
        <v>89</v>
      </c>
      <c r="Y14" s="8" t="s">
        <v>89</v>
      </c>
      <c r="Z14" s="8" t="s">
        <v>89</v>
      </c>
      <c r="AA14" s="8" t="s">
        <v>89</v>
      </c>
      <c r="AB14" s="8" t="s">
        <v>89</v>
      </c>
      <c r="AC14" s="8" t="s">
        <v>89</v>
      </c>
      <c r="AD14" s="8" t="s">
        <v>89</v>
      </c>
      <c r="AE14" s="8" t="s">
        <v>89</v>
      </c>
      <c r="AF14" s="8" t="s">
        <v>89</v>
      </c>
      <c r="AG14" s="3"/>
    </row>
    <row r="15" spans="1:33" ht="15.75" x14ac:dyDescent="0.25">
      <c r="A15" s="5">
        <v>12</v>
      </c>
      <c r="B15" s="8" t="str">
        <f>VLOOKUP(D15,Sheet1!$B$1:$C$20,2,0)</f>
        <v>NV14</v>
      </c>
      <c r="C15" s="5">
        <v>12</v>
      </c>
      <c r="D15" s="10" t="s">
        <v>63</v>
      </c>
      <c r="E15" s="3"/>
      <c r="F15" s="3"/>
      <c r="G15" s="6">
        <v>1993</v>
      </c>
      <c r="H15" s="6" t="s">
        <v>82</v>
      </c>
      <c r="I15" s="3"/>
      <c r="J15" s="3"/>
      <c r="K15" s="3"/>
      <c r="L15" s="6" t="s">
        <v>77</v>
      </c>
      <c r="M15" s="3"/>
      <c r="N15" s="3"/>
      <c r="O15" s="9" t="s">
        <v>87</v>
      </c>
      <c r="P15" s="3"/>
      <c r="Q15" s="8" t="s">
        <v>89</v>
      </c>
      <c r="R15" s="8" t="s">
        <v>89</v>
      </c>
      <c r="S15" s="8" t="s">
        <v>89</v>
      </c>
      <c r="T15" s="8" t="s">
        <v>89</v>
      </c>
      <c r="U15" s="8" t="s">
        <v>89</v>
      </c>
      <c r="V15" s="8" t="s">
        <v>89</v>
      </c>
      <c r="W15" s="8" t="s">
        <v>89</v>
      </c>
      <c r="X15" s="8" t="s">
        <v>89</v>
      </c>
      <c r="Y15" s="8" t="s">
        <v>89</v>
      </c>
      <c r="Z15" s="8" t="s">
        <v>89</v>
      </c>
      <c r="AA15" s="8" t="s">
        <v>89</v>
      </c>
      <c r="AB15" s="8" t="s">
        <v>89</v>
      </c>
      <c r="AC15" s="8" t="s">
        <v>89</v>
      </c>
      <c r="AD15" s="8" t="s">
        <v>89</v>
      </c>
      <c r="AE15" s="8" t="s">
        <v>89</v>
      </c>
      <c r="AF15" s="8" t="s">
        <v>89</v>
      </c>
      <c r="AG15" s="3"/>
    </row>
    <row r="16" spans="1:33" ht="15.75" x14ac:dyDescent="0.25">
      <c r="A16" s="5">
        <v>13</v>
      </c>
      <c r="B16" s="8" t="e">
        <f>VLOOKUP(D16,Sheet1!$B$1:$C$20,2,0)</f>
        <v>#N/A</v>
      </c>
      <c r="C16" s="5">
        <v>13</v>
      </c>
      <c r="D16" s="10" t="s">
        <v>64</v>
      </c>
      <c r="E16" s="3"/>
      <c r="F16" s="3"/>
      <c r="G16" s="6">
        <v>1983</v>
      </c>
      <c r="H16" s="6" t="s">
        <v>81</v>
      </c>
      <c r="I16" s="3"/>
      <c r="J16" s="3"/>
      <c r="K16" s="3"/>
      <c r="L16" s="6" t="s">
        <v>77</v>
      </c>
      <c r="M16" s="3"/>
      <c r="N16" s="3"/>
      <c r="O16" s="9" t="s">
        <v>88</v>
      </c>
      <c r="P16" s="3"/>
      <c r="Q16" s="8" t="s">
        <v>89</v>
      </c>
      <c r="R16" s="8" t="s">
        <v>89</v>
      </c>
      <c r="S16" s="8" t="s">
        <v>89</v>
      </c>
      <c r="T16" s="8" t="s">
        <v>89</v>
      </c>
      <c r="U16" s="8" t="s">
        <v>89</v>
      </c>
      <c r="V16" s="8" t="s">
        <v>89</v>
      </c>
      <c r="W16" s="8"/>
      <c r="X16" s="8"/>
      <c r="Y16" s="8" t="s">
        <v>89</v>
      </c>
      <c r="Z16" s="8" t="s">
        <v>89</v>
      </c>
      <c r="AA16" s="8" t="s">
        <v>89</v>
      </c>
      <c r="AB16" s="8" t="s">
        <v>89</v>
      </c>
      <c r="AC16" s="8" t="s">
        <v>89</v>
      </c>
      <c r="AD16" s="8" t="s">
        <v>89</v>
      </c>
      <c r="AE16" s="8" t="s">
        <v>89</v>
      </c>
      <c r="AF16" s="8" t="s">
        <v>89</v>
      </c>
      <c r="AG16" s="3"/>
    </row>
    <row r="17" spans="1:33" ht="15.75" x14ac:dyDescent="0.25">
      <c r="A17" s="5">
        <v>14</v>
      </c>
      <c r="B17" s="8" t="str">
        <f>VLOOKUP(D17,Sheet1!$B$1:$C$20,2,0)</f>
        <v>NV06</v>
      </c>
      <c r="C17" s="5">
        <v>14</v>
      </c>
      <c r="D17" s="10" t="s">
        <v>65</v>
      </c>
      <c r="E17" s="3"/>
      <c r="F17" s="3"/>
      <c r="G17" s="6">
        <v>1995</v>
      </c>
      <c r="H17" s="6" t="s">
        <v>81</v>
      </c>
      <c r="I17" s="3"/>
      <c r="J17" s="3"/>
      <c r="K17" s="3"/>
      <c r="L17" s="6" t="s">
        <v>77</v>
      </c>
      <c r="M17" s="3"/>
      <c r="N17" s="3"/>
      <c r="O17" s="8"/>
      <c r="P17" s="3"/>
      <c r="Q17" s="8" t="s">
        <v>89</v>
      </c>
      <c r="R17" s="8" t="s">
        <v>89</v>
      </c>
      <c r="S17" s="8" t="s">
        <v>89</v>
      </c>
      <c r="T17" s="8" t="s">
        <v>89</v>
      </c>
      <c r="U17" s="8" t="s">
        <v>89</v>
      </c>
      <c r="V17" s="8" t="s">
        <v>89</v>
      </c>
      <c r="W17" s="8"/>
      <c r="X17" s="8"/>
      <c r="Y17" s="8" t="s">
        <v>89</v>
      </c>
      <c r="Z17" s="8" t="s">
        <v>89</v>
      </c>
      <c r="AA17" s="8" t="s">
        <v>89</v>
      </c>
      <c r="AB17" s="8" t="s">
        <v>89</v>
      </c>
      <c r="AC17" s="8" t="s">
        <v>89</v>
      </c>
      <c r="AD17" s="8" t="s">
        <v>89</v>
      </c>
      <c r="AE17" s="8" t="s">
        <v>89</v>
      </c>
      <c r="AF17" s="8" t="s">
        <v>89</v>
      </c>
      <c r="AG17" s="3"/>
    </row>
    <row r="18" spans="1:33" ht="15.75" x14ac:dyDescent="0.25">
      <c r="A18" s="5">
        <v>15</v>
      </c>
      <c r="B18" s="8" t="str">
        <f>VLOOKUP(D18,Sheet1!$B$1:$C$20,2,0)</f>
        <v>NV15</v>
      </c>
      <c r="C18" s="5">
        <v>15</v>
      </c>
      <c r="D18" s="10" t="s">
        <v>66</v>
      </c>
      <c r="E18" s="3"/>
      <c r="F18" s="3"/>
      <c r="G18" s="6"/>
      <c r="H18" s="6" t="s">
        <v>82</v>
      </c>
      <c r="I18" s="3"/>
      <c r="J18" s="3"/>
      <c r="K18" s="3"/>
      <c r="L18" s="6" t="s">
        <v>78</v>
      </c>
      <c r="M18" s="3"/>
      <c r="N18" s="3"/>
      <c r="O18" s="8"/>
      <c r="P18" s="3"/>
      <c r="Q18" s="8" t="s">
        <v>89</v>
      </c>
      <c r="R18" s="8" t="s">
        <v>89</v>
      </c>
      <c r="S18" s="8" t="s">
        <v>89</v>
      </c>
      <c r="T18" s="8" t="s">
        <v>89</v>
      </c>
      <c r="U18" s="8" t="s">
        <v>89</v>
      </c>
      <c r="V18" s="8" t="s">
        <v>89</v>
      </c>
      <c r="W18" s="8" t="s">
        <v>89</v>
      </c>
      <c r="X18" s="8" t="s">
        <v>89</v>
      </c>
      <c r="Y18" s="8" t="s">
        <v>89</v>
      </c>
      <c r="Z18" s="8" t="s">
        <v>89</v>
      </c>
      <c r="AA18" s="8" t="s">
        <v>89</v>
      </c>
      <c r="AB18" s="8" t="s">
        <v>89</v>
      </c>
      <c r="AC18" s="8" t="s">
        <v>89</v>
      </c>
      <c r="AD18" s="8" t="s">
        <v>89</v>
      </c>
      <c r="AE18" s="8" t="s">
        <v>89</v>
      </c>
      <c r="AF18" s="8" t="s">
        <v>89</v>
      </c>
      <c r="AG18" s="3"/>
    </row>
    <row r="19" spans="1:33" ht="15.75" x14ac:dyDescent="0.25">
      <c r="A19" s="5">
        <v>16</v>
      </c>
      <c r="B19" s="8" t="str">
        <f>VLOOKUP(D19,Sheet1!$B$1:$C$20,2,0)</f>
        <v>NV16</v>
      </c>
      <c r="C19" s="5">
        <v>16</v>
      </c>
      <c r="D19" s="10" t="s">
        <v>67</v>
      </c>
      <c r="E19" s="3"/>
      <c r="F19" s="3"/>
      <c r="G19" s="6"/>
      <c r="H19" s="6" t="s">
        <v>82</v>
      </c>
      <c r="I19" s="3"/>
      <c r="J19" s="3"/>
      <c r="K19" s="3"/>
      <c r="L19" s="6" t="s">
        <v>78</v>
      </c>
      <c r="M19" s="3"/>
      <c r="N19" s="3"/>
      <c r="O19" s="8"/>
      <c r="P19" s="3"/>
      <c r="Q19" s="8" t="s">
        <v>89</v>
      </c>
      <c r="R19" s="8" t="s">
        <v>89</v>
      </c>
      <c r="S19" s="8" t="s">
        <v>89</v>
      </c>
      <c r="T19" s="8" t="s">
        <v>89</v>
      </c>
      <c r="U19" s="8" t="s">
        <v>89</v>
      </c>
      <c r="V19" s="8" t="s">
        <v>89</v>
      </c>
      <c r="W19" s="8" t="s">
        <v>89</v>
      </c>
      <c r="X19" s="8" t="s">
        <v>89</v>
      </c>
      <c r="Y19" s="8" t="s">
        <v>89</v>
      </c>
      <c r="Z19" s="8" t="s">
        <v>89</v>
      </c>
      <c r="AA19" s="8" t="s">
        <v>89</v>
      </c>
      <c r="AB19" s="8" t="s">
        <v>89</v>
      </c>
      <c r="AC19" s="8" t="s">
        <v>89</v>
      </c>
      <c r="AD19" s="8" t="s">
        <v>89</v>
      </c>
      <c r="AE19" s="8" t="s">
        <v>89</v>
      </c>
      <c r="AF19" s="8" t="s">
        <v>89</v>
      </c>
      <c r="AG19" s="3"/>
    </row>
    <row r="20" spans="1:33" ht="15.75" x14ac:dyDescent="0.25">
      <c r="A20" s="5">
        <v>17</v>
      </c>
      <c r="B20" s="8" t="str">
        <f>VLOOKUP(D20,Sheet1!$B$1:$C$20,2,0)</f>
        <v>NV18</v>
      </c>
      <c r="C20" s="5">
        <v>17</v>
      </c>
      <c r="D20" s="10" t="s">
        <v>68</v>
      </c>
      <c r="E20" s="3"/>
      <c r="F20" s="3"/>
      <c r="G20" s="6"/>
      <c r="H20" s="6" t="s">
        <v>81</v>
      </c>
      <c r="I20" s="3"/>
      <c r="J20" s="3"/>
      <c r="K20" s="3"/>
      <c r="L20" s="6" t="s">
        <v>79</v>
      </c>
      <c r="M20" s="3"/>
      <c r="N20" s="3"/>
      <c r="O20" s="8"/>
      <c r="P20" s="3"/>
      <c r="Q20" s="8" t="s">
        <v>89</v>
      </c>
      <c r="R20" s="8" t="s">
        <v>89</v>
      </c>
      <c r="S20" s="8" t="s">
        <v>89</v>
      </c>
      <c r="T20" s="8" t="s">
        <v>89</v>
      </c>
      <c r="U20" s="8" t="s">
        <v>89</v>
      </c>
      <c r="V20" s="8" t="s">
        <v>89</v>
      </c>
      <c r="W20" s="8"/>
      <c r="X20" s="8"/>
      <c r="Y20" s="8" t="s">
        <v>89</v>
      </c>
      <c r="Z20" s="8" t="s">
        <v>89</v>
      </c>
      <c r="AA20" s="8" t="s">
        <v>89</v>
      </c>
      <c r="AB20" s="8" t="s">
        <v>89</v>
      </c>
      <c r="AC20" s="8" t="s">
        <v>89</v>
      </c>
      <c r="AD20" s="8" t="s">
        <v>89</v>
      </c>
      <c r="AE20" s="8" t="s">
        <v>89</v>
      </c>
      <c r="AF20" s="8" t="s">
        <v>89</v>
      </c>
      <c r="AG20" s="3"/>
    </row>
    <row r="21" spans="1:33" ht="15.75" x14ac:dyDescent="0.25">
      <c r="A21" s="5">
        <v>18</v>
      </c>
      <c r="B21" s="8" t="str">
        <f>VLOOKUP(D21,Sheet1!$B$1:$C$20,2,0)</f>
        <v>NV17</v>
      </c>
      <c r="C21" s="5">
        <v>18</v>
      </c>
      <c r="D21" s="10" t="s">
        <v>69</v>
      </c>
      <c r="E21" s="3"/>
      <c r="F21" s="3"/>
      <c r="G21" s="6"/>
      <c r="H21" s="6" t="s">
        <v>81</v>
      </c>
      <c r="I21" s="3"/>
      <c r="J21" s="3"/>
      <c r="K21" s="3"/>
      <c r="L21" s="6" t="s">
        <v>80</v>
      </c>
      <c r="M21" s="3"/>
      <c r="N21" s="3"/>
      <c r="O21" s="8"/>
      <c r="P21" s="3"/>
      <c r="Q21" s="8" t="s">
        <v>89</v>
      </c>
      <c r="R21" s="8" t="s">
        <v>89</v>
      </c>
      <c r="S21" s="8" t="s">
        <v>89</v>
      </c>
      <c r="T21" s="8" t="s">
        <v>89</v>
      </c>
      <c r="U21" s="8" t="s">
        <v>89</v>
      </c>
      <c r="V21" s="8" t="s">
        <v>89</v>
      </c>
      <c r="W21" s="8"/>
      <c r="X21" s="8"/>
      <c r="Y21" s="8" t="s">
        <v>89</v>
      </c>
      <c r="Z21" s="8" t="s">
        <v>89</v>
      </c>
      <c r="AA21" s="8" t="s">
        <v>89</v>
      </c>
      <c r="AB21" s="8" t="s">
        <v>89</v>
      </c>
      <c r="AC21" s="8" t="s">
        <v>89</v>
      </c>
      <c r="AD21" s="8" t="s">
        <v>89</v>
      </c>
      <c r="AE21" s="8" t="s">
        <v>89</v>
      </c>
      <c r="AF21" s="8" t="s">
        <v>89</v>
      </c>
      <c r="AG21" s="3"/>
    </row>
  </sheetData>
  <mergeCells count="2">
    <mergeCell ref="A2:P2"/>
    <mergeCell ref="A3:P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A231-545B-44BA-B191-70C6538B18C5}">
  <dimension ref="B1:C20"/>
  <sheetViews>
    <sheetView topLeftCell="A4" workbookViewId="0">
      <selection activeCell="C1" sqref="C1:C20"/>
    </sheetView>
  </sheetViews>
  <sheetFormatPr defaultRowHeight="15" x14ac:dyDescent="0.25"/>
  <sheetData>
    <row r="1" spans="2:3" x14ac:dyDescent="0.25">
      <c r="B1" t="s">
        <v>3</v>
      </c>
      <c r="C1" t="s">
        <v>1</v>
      </c>
    </row>
    <row r="2" spans="2:3" x14ac:dyDescent="0.25">
      <c r="B2" t="s">
        <v>52</v>
      </c>
      <c r="C2" t="s">
        <v>90</v>
      </c>
    </row>
    <row r="3" spans="2:3" x14ac:dyDescent="0.25">
      <c r="B3" t="s">
        <v>92</v>
      </c>
      <c r="C3" t="s">
        <v>91</v>
      </c>
    </row>
    <row r="4" spans="2:3" x14ac:dyDescent="0.25">
      <c r="B4" t="s">
        <v>53</v>
      </c>
      <c r="C4" t="s">
        <v>93</v>
      </c>
    </row>
    <row r="5" spans="2:3" x14ac:dyDescent="0.25">
      <c r="B5" t="s">
        <v>95</v>
      </c>
      <c r="C5" t="s">
        <v>94</v>
      </c>
    </row>
    <row r="6" spans="2:3" x14ac:dyDescent="0.25">
      <c r="B6" t="s">
        <v>97</v>
      </c>
      <c r="C6" t="s">
        <v>96</v>
      </c>
    </row>
    <row r="7" spans="2:3" x14ac:dyDescent="0.25">
      <c r="B7" t="s">
        <v>65</v>
      </c>
      <c r="C7" t="s">
        <v>98</v>
      </c>
    </row>
    <row r="8" spans="2:3" x14ac:dyDescent="0.25">
      <c r="B8" t="s">
        <v>100</v>
      </c>
      <c r="C8" t="s">
        <v>99</v>
      </c>
    </row>
    <row r="9" spans="2:3" x14ac:dyDescent="0.25">
      <c r="B9" t="s">
        <v>54</v>
      </c>
      <c r="C9" t="s">
        <v>101</v>
      </c>
    </row>
    <row r="10" spans="2:3" x14ac:dyDescent="0.25">
      <c r="B10" t="s">
        <v>56</v>
      </c>
      <c r="C10" t="s">
        <v>102</v>
      </c>
    </row>
    <row r="11" spans="2:3" x14ac:dyDescent="0.25">
      <c r="B11" t="s">
        <v>60</v>
      </c>
      <c r="C11" t="s">
        <v>103</v>
      </c>
    </row>
    <row r="12" spans="2:3" x14ac:dyDescent="0.25">
      <c r="B12" t="s">
        <v>55</v>
      </c>
      <c r="C12" t="s">
        <v>104</v>
      </c>
    </row>
    <row r="13" spans="2:3" x14ac:dyDescent="0.25">
      <c r="B13" t="s">
        <v>57</v>
      </c>
      <c r="C13" t="s">
        <v>105</v>
      </c>
    </row>
    <row r="14" spans="2:3" x14ac:dyDescent="0.25">
      <c r="B14" t="s">
        <v>61</v>
      </c>
      <c r="C14" t="s">
        <v>106</v>
      </c>
    </row>
    <row r="15" spans="2:3" x14ac:dyDescent="0.25">
      <c r="B15" t="s">
        <v>108</v>
      </c>
      <c r="C15" t="s">
        <v>107</v>
      </c>
    </row>
    <row r="16" spans="2:3" x14ac:dyDescent="0.25">
      <c r="B16" t="s">
        <v>66</v>
      </c>
      <c r="C16" t="s">
        <v>109</v>
      </c>
    </row>
    <row r="17" spans="2:3" x14ac:dyDescent="0.25">
      <c r="B17" t="s">
        <v>67</v>
      </c>
      <c r="C17" t="s">
        <v>110</v>
      </c>
    </row>
    <row r="18" spans="2:3" x14ac:dyDescent="0.25">
      <c r="B18" t="s">
        <v>69</v>
      </c>
      <c r="C18" t="s">
        <v>111</v>
      </c>
    </row>
    <row r="19" spans="2:3" x14ac:dyDescent="0.25">
      <c r="B19" t="s">
        <v>68</v>
      </c>
      <c r="C19" t="s">
        <v>112</v>
      </c>
    </row>
    <row r="20" spans="2:3" x14ac:dyDescent="0.25">
      <c r="B20" t="s">
        <v>114</v>
      </c>
      <c r="C20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Nhập danh sách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Giang Nguyễn</cp:lastModifiedBy>
  <dcterms:modified xsi:type="dcterms:W3CDTF">2025-06-05T02:24:18Z</dcterms:modified>
</cp:coreProperties>
</file>