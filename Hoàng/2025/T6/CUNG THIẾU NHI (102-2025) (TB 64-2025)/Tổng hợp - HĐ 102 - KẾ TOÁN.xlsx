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129"/>
  <workbookPr/>
  <mc:AlternateContent xmlns:mc="http://schemas.openxmlformats.org/markup-compatibility/2006">
    <mc:Choice Requires="x15">
      <x15ac:absPath xmlns:x15ac="http://schemas.microsoft.com/office/spreadsheetml/2010/11/ac" url="G:\DATA-TN\Hoàng\2025\T6\CUNG THIẾU NHI (102-2025) (TB 64-2025)\"/>
    </mc:Choice>
  </mc:AlternateContent>
  <xr:revisionPtr revIDLastSave="0" documentId="13_ncr:1_{60B65F10-03B5-4830-B7BD-6AD7CC2661F2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Tổng hợp" sheetId="1" r:id="rId1"/>
  </sheets>
  <definedNames>
    <definedName name="_xlnm._FilterDatabase" localSheetId="0" hidden="1">'Tổng hợp'!$A$2:$M$2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4" i="1" l="1"/>
  <c r="I4" i="1" s="1"/>
  <c r="M4" i="1" s="1"/>
  <c r="H5" i="1"/>
  <c r="I5" i="1" s="1"/>
  <c r="M5" i="1" s="1"/>
  <c r="H6" i="1"/>
  <c r="I6" i="1" s="1"/>
  <c r="M6" i="1" s="1"/>
  <c r="H7" i="1"/>
  <c r="I7" i="1" s="1"/>
  <c r="M7" i="1" s="1"/>
  <c r="H8" i="1"/>
  <c r="I8" i="1" s="1"/>
  <c r="M8" i="1" s="1"/>
  <c r="H9" i="1"/>
  <c r="I9" i="1" s="1"/>
  <c r="M9" i="1" s="1"/>
  <c r="H10" i="1"/>
  <c r="I10" i="1" s="1"/>
  <c r="M10" i="1" s="1"/>
  <c r="H11" i="1"/>
  <c r="I11" i="1" s="1"/>
  <c r="M11" i="1" s="1"/>
  <c r="H12" i="1"/>
  <c r="I12" i="1" s="1"/>
  <c r="M12" i="1" s="1"/>
  <c r="H13" i="1"/>
  <c r="I13" i="1" s="1"/>
  <c r="M13" i="1" s="1"/>
  <c r="H14" i="1"/>
  <c r="I14" i="1" s="1"/>
  <c r="M14" i="1" s="1"/>
  <c r="H15" i="1"/>
  <c r="I15" i="1" s="1"/>
  <c r="M15" i="1" s="1"/>
  <c r="H16" i="1"/>
  <c r="I16" i="1" s="1"/>
  <c r="M16" i="1" s="1"/>
  <c r="H3" i="1"/>
  <c r="I3" i="1" s="1"/>
  <c r="I17" i="1" l="1"/>
  <c r="M3" i="1"/>
</calcChain>
</file>

<file path=xl/sharedStrings.xml><?xml version="1.0" encoding="utf-8"?>
<sst xmlns="http://schemas.openxmlformats.org/spreadsheetml/2006/main" count="74" uniqueCount="62">
  <si>
    <t>Thông tin khách hàng</t>
  </si>
  <si>
    <t>Phát sinh</t>
  </si>
  <si>
    <t>Thực hiện</t>
  </si>
  <si>
    <t>Thanh toán</t>
  </si>
  <si>
    <t>STT</t>
  </si>
  <si>
    <t>Họ và tên</t>
  </si>
  <si>
    <t>Ngày sinh</t>
  </si>
  <si>
    <t>Giới tính</t>
  </si>
  <si>
    <t>Mã nhân viên</t>
  </si>
  <si>
    <t>Công ty thanh toán</t>
  </si>
  <si>
    <t>Khách tự thanh toán</t>
  </si>
  <si>
    <t>Tổng cộng</t>
  </si>
  <si>
    <t>Đã thực hiện</t>
  </si>
  <si>
    <t>Chưa thực hiện</t>
  </si>
  <si>
    <t>Đã thanh toán</t>
  </si>
  <si>
    <t>Chưa thanh toán</t>
  </si>
  <si>
    <t>Thực thu</t>
  </si>
  <si>
    <t>Ngô Thị Ngân Hà</t>
  </si>
  <si>
    <t>1984</t>
  </si>
  <si>
    <t>Nữ</t>
  </si>
  <si>
    <t>NV01</t>
  </si>
  <si>
    <t>Phan Thị Thanh Hiền</t>
  </si>
  <si>
    <t>1981</t>
  </si>
  <si>
    <t>NV02</t>
  </si>
  <si>
    <t>Trương Thị Mỹ Linh</t>
  </si>
  <si>
    <t>1992</t>
  </si>
  <si>
    <t>NV03</t>
  </si>
  <si>
    <t>Hoàng Quang Vũ</t>
  </si>
  <si>
    <t>1989</t>
  </si>
  <si>
    <t>Nam</t>
  </si>
  <si>
    <t>NV04</t>
  </si>
  <si>
    <t>Lê Thị Phương Thảo</t>
  </si>
  <si>
    <t>1991</t>
  </si>
  <si>
    <t>NV05</t>
  </si>
  <si>
    <t>Nguyễn Văn Chính</t>
  </si>
  <si>
    <t>1985</t>
  </si>
  <si>
    <t>NV07</t>
  </si>
  <si>
    <t>Nguyễn Thị Thu Hoàng</t>
  </si>
  <si>
    <t>1990</t>
  </si>
  <si>
    <t>NV08</t>
  </si>
  <si>
    <t>Bùi Thiên Vỹ</t>
  </si>
  <si>
    <t>1986</t>
  </si>
  <si>
    <t>NV09</t>
  </si>
  <si>
    <t>Nguyễn Thái Long Vương</t>
  </si>
  <si>
    <t>1995</t>
  </si>
  <si>
    <t>NV10</t>
  </si>
  <si>
    <t>Nguyễn Thị Xuân Trinh</t>
  </si>
  <si>
    <t>1969</t>
  </si>
  <si>
    <t>NV11</t>
  </si>
  <si>
    <t>Phan Nguyễn Thị Thu Khanh</t>
  </si>
  <si>
    <t>1971</t>
  </si>
  <si>
    <t>NV12</t>
  </si>
  <si>
    <t>Huỳnh Thị Lệ Thu</t>
  </si>
  <si>
    <t>1978</t>
  </si>
  <si>
    <t>NV14</t>
  </si>
  <si>
    <t>Nguyễn Nhẫn</t>
  </si>
  <si>
    <t>1976</t>
  </si>
  <si>
    <t>NV06</t>
  </si>
  <si>
    <t>Nông Thị Hồng Điệp</t>
  </si>
  <si>
    <t>1987</t>
  </si>
  <si>
    <t>NV13</t>
  </si>
  <si>
    <t>Ghi chú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</si>
</sst>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name val="Calibri"/>
    </font>
    <font>
      <sz val="11"/>
      <name val="Times New Roman"/>
      <family val="1"/>
    </font>
    <font>
      <b/>
      <sz val="11"/>
      <name val="Times New Roman"/>
      <family val="1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5">
    <border>
      <left/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4" xfId="0" applyFont="1" applyBorder="1" applyAlignment="1">
      <alignment vertical="top" wrapText="1"/>
    </xf>
    <xf numFmtId="0" fontId="2" fillId="0" borderId="4" xfId="0" applyFont="1" applyBorder="1" applyAlignment="1">
      <alignment vertical="top" wrapText="1"/>
    </xf>
    <xf numFmtId="0" fontId="1" fillId="0" borderId="4" xfId="0" applyFont="1" applyBorder="1" applyAlignment="1">
      <alignment vertical="top"/>
    </xf>
    <xf numFmtId="3" fontId="1" fillId="0" borderId="4" xfId="0" applyNumberFormat="1" applyFont="1" applyBorder="1" applyAlignment="1">
      <alignment vertical="top"/>
    </xf>
    <xf numFmtId="3" fontId="3" fillId="2" borderId="0" xfId="0" applyNumberFormat="1" applyFont="1" applyFill="1"/>
    <xf numFmtId="0" fontId="2" fillId="0" borderId="2" xfId="0" applyFont="1" applyBorder="1" applyAlignment="1">
      <alignment vertical="top" wrapText="1"/>
    </xf>
    <xf numFmtId="0" fontId="2" fillId="0" borderId="1" xfId="0" applyFont="1" applyBorder="1"/>
    <xf numFmtId="0" fontId="2" fillId="0" borderId="3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7"/>
  <sheetViews>
    <sheetView tabSelected="1" topLeftCell="A7" workbookViewId="0">
      <selection activeCell="E3" sqref="E3"/>
    </sheetView>
  </sheetViews>
  <sheetFormatPr defaultRowHeight="15"/>
  <cols>
    <col min="2" max="2" width="25" customWidth="1"/>
    <col min="3" max="3" width="10" customWidth="1"/>
    <col min="5" max="5" width="15" customWidth="1"/>
    <col min="6" max="6" width="13.7109375" customWidth="1"/>
    <col min="7" max="7" width="10.85546875" customWidth="1"/>
    <col min="8" max="8" width="11" customWidth="1"/>
    <col min="9" max="9" width="10.5703125" customWidth="1"/>
    <col min="10" max="14" width="10" customWidth="1"/>
  </cols>
  <sheetData>
    <row r="1" spans="1:14">
      <c r="A1" s="6" t="s">
        <v>0</v>
      </c>
      <c r="B1" s="7"/>
      <c r="C1" s="7"/>
      <c r="D1" s="7"/>
      <c r="E1" s="7"/>
      <c r="F1" s="6" t="s">
        <v>1</v>
      </c>
      <c r="G1" s="7"/>
      <c r="H1" s="8"/>
      <c r="I1" s="6" t="s">
        <v>2</v>
      </c>
      <c r="J1" s="8"/>
      <c r="K1" s="6" t="s">
        <v>3</v>
      </c>
      <c r="L1" s="7"/>
      <c r="M1" s="8"/>
    </row>
    <row r="2" spans="1:14" ht="42.75">
      <c r="A2" s="2" t="s">
        <v>4</v>
      </c>
      <c r="B2" s="2" t="s">
        <v>5</v>
      </c>
      <c r="C2" s="2" t="s">
        <v>6</v>
      </c>
      <c r="D2" s="2" t="s">
        <v>7</v>
      </c>
      <c r="E2" s="2" t="s">
        <v>8</v>
      </c>
      <c r="F2" s="2" t="s">
        <v>9</v>
      </c>
      <c r="G2" s="2" t="s">
        <v>10</v>
      </c>
      <c r="H2" s="2" t="s">
        <v>11</v>
      </c>
      <c r="I2" s="2" t="s">
        <v>12</v>
      </c>
      <c r="J2" s="2" t="s">
        <v>13</v>
      </c>
      <c r="K2" s="2" t="s">
        <v>14</v>
      </c>
      <c r="L2" s="2" t="s">
        <v>15</v>
      </c>
      <c r="M2" s="2" t="s">
        <v>16</v>
      </c>
      <c r="N2" s="2" t="s">
        <v>61</v>
      </c>
    </row>
    <row r="3" spans="1:14">
      <c r="A3" s="3">
        <v>1</v>
      </c>
      <c r="B3" s="1" t="s">
        <v>17</v>
      </c>
      <c r="C3" s="1" t="s">
        <v>18</v>
      </c>
      <c r="D3" s="1" t="s">
        <v>19</v>
      </c>
      <c r="E3" s="1" t="s">
        <v>20</v>
      </c>
      <c r="F3" s="4">
        <v>2290800</v>
      </c>
      <c r="G3" s="4"/>
      <c r="H3" s="4">
        <f>F3+G3</f>
        <v>2290800</v>
      </c>
      <c r="I3" s="4">
        <f>H3-J3-K3</f>
        <v>2290800</v>
      </c>
      <c r="J3" s="4"/>
      <c r="K3" s="4"/>
      <c r="L3" s="4"/>
      <c r="M3" s="4">
        <f>I3+K3</f>
        <v>2290800</v>
      </c>
      <c r="N3" s="4"/>
    </row>
    <row r="4" spans="1:14">
      <c r="A4" s="3">
        <v>2</v>
      </c>
      <c r="B4" s="1" t="s">
        <v>21</v>
      </c>
      <c r="C4" s="1" t="s">
        <v>22</v>
      </c>
      <c r="D4" s="1" t="s">
        <v>19</v>
      </c>
      <c r="E4" s="1" t="s">
        <v>23</v>
      </c>
      <c r="F4" s="4">
        <v>2057100</v>
      </c>
      <c r="G4" s="4"/>
      <c r="H4" s="4">
        <f t="shared" ref="H4:H16" si="0">F4+G4</f>
        <v>2057100</v>
      </c>
      <c r="I4" s="4">
        <f t="shared" ref="I4:I16" si="1">H4-J4-K4</f>
        <v>2057100</v>
      </c>
      <c r="J4" s="4"/>
      <c r="K4" s="4"/>
      <c r="L4" s="4"/>
      <c r="M4" s="4">
        <f t="shared" ref="M4:M16" si="2">I4+K4</f>
        <v>2057100</v>
      </c>
      <c r="N4" s="4"/>
    </row>
    <row r="5" spans="1:14">
      <c r="A5" s="3">
        <v>3</v>
      </c>
      <c r="B5" s="1" t="s">
        <v>24</v>
      </c>
      <c r="C5" s="1" t="s">
        <v>25</v>
      </c>
      <c r="D5" s="1" t="s">
        <v>19</v>
      </c>
      <c r="E5" s="1" t="s">
        <v>26</v>
      </c>
      <c r="F5" s="4">
        <v>2556600</v>
      </c>
      <c r="G5" s="4"/>
      <c r="H5" s="4">
        <f t="shared" si="0"/>
        <v>2556600</v>
      </c>
      <c r="I5" s="4">
        <f t="shared" si="1"/>
        <v>2556600</v>
      </c>
      <c r="J5" s="4"/>
      <c r="K5" s="4"/>
      <c r="L5" s="4"/>
      <c r="M5" s="4">
        <f t="shared" si="2"/>
        <v>2556600</v>
      </c>
      <c r="N5" s="4"/>
    </row>
    <row r="6" spans="1:14">
      <c r="A6" s="3">
        <v>4</v>
      </c>
      <c r="B6" s="1" t="s">
        <v>27</v>
      </c>
      <c r="C6" s="1" t="s">
        <v>28</v>
      </c>
      <c r="D6" s="1" t="s">
        <v>29</v>
      </c>
      <c r="E6" s="1" t="s">
        <v>30</v>
      </c>
      <c r="F6" s="4">
        <v>1794300</v>
      </c>
      <c r="G6" s="4"/>
      <c r="H6" s="4">
        <f t="shared" si="0"/>
        <v>1794300</v>
      </c>
      <c r="I6" s="4">
        <f t="shared" si="1"/>
        <v>1794300</v>
      </c>
      <c r="J6" s="4"/>
      <c r="K6" s="4"/>
      <c r="L6" s="4"/>
      <c r="M6" s="4">
        <f t="shared" si="2"/>
        <v>1794300</v>
      </c>
      <c r="N6" s="4"/>
    </row>
    <row r="7" spans="1:14">
      <c r="A7" s="3">
        <v>5</v>
      </c>
      <c r="B7" s="1" t="s">
        <v>31</v>
      </c>
      <c r="C7" s="1" t="s">
        <v>32</v>
      </c>
      <c r="D7" s="1" t="s">
        <v>19</v>
      </c>
      <c r="E7" s="1" t="s">
        <v>33</v>
      </c>
      <c r="F7" s="4">
        <v>1528100</v>
      </c>
      <c r="G7" s="4"/>
      <c r="H7" s="4">
        <f t="shared" si="0"/>
        <v>1528100</v>
      </c>
      <c r="I7" s="4">
        <f t="shared" si="1"/>
        <v>1528100</v>
      </c>
      <c r="J7" s="4"/>
      <c r="K7" s="4"/>
      <c r="L7" s="4"/>
      <c r="M7" s="4">
        <f t="shared" si="2"/>
        <v>1528100</v>
      </c>
      <c r="N7" s="4"/>
    </row>
    <row r="8" spans="1:14">
      <c r="A8" s="3">
        <v>6</v>
      </c>
      <c r="B8" s="1" t="s">
        <v>34</v>
      </c>
      <c r="C8" s="1" t="s">
        <v>35</v>
      </c>
      <c r="D8" s="1" t="s">
        <v>29</v>
      </c>
      <c r="E8" s="1" t="s">
        <v>36</v>
      </c>
      <c r="F8" s="4">
        <v>3406000</v>
      </c>
      <c r="G8" s="4"/>
      <c r="H8" s="4">
        <f t="shared" si="0"/>
        <v>3406000</v>
      </c>
      <c r="I8" s="4">
        <f t="shared" si="1"/>
        <v>3406000</v>
      </c>
      <c r="J8" s="4"/>
      <c r="K8" s="4"/>
      <c r="L8" s="4"/>
      <c r="M8" s="4">
        <f t="shared" si="2"/>
        <v>3406000</v>
      </c>
      <c r="N8" s="4"/>
    </row>
    <row r="9" spans="1:14">
      <c r="A9" s="3">
        <v>7</v>
      </c>
      <c r="B9" s="1" t="s">
        <v>37</v>
      </c>
      <c r="C9" s="1" t="s">
        <v>38</v>
      </c>
      <c r="D9" s="1" t="s">
        <v>19</v>
      </c>
      <c r="E9" s="1" t="s">
        <v>39</v>
      </c>
      <c r="F9" s="4">
        <v>1775400</v>
      </c>
      <c r="G9" s="4"/>
      <c r="H9" s="4">
        <f t="shared" si="0"/>
        <v>1775400</v>
      </c>
      <c r="I9" s="4">
        <f t="shared" si="1"/>
        <v>1775400</v>
      </c>
      <c r="J9" s="4"/>
      <c r="K9" s="4"/>
      <c r="L9" s="4"/>
      <c r="M9" s="4">
        <f t="shared" si="2"/>
        <v>1775400</v>
      </c>
      <c r="N9" s="4"/>
    </row>
    <row r="10" spans="1:14">
      <c r="A10" s="3">
        <v>8</v>
      </c>
      <c r="B10" s="1" t="s">
        <v>40</v>
      </c>
      <c r="C10" s="1" t="s">
        <v>41</v>
      </c>
      <c r="D10" s="1" t="s">
        <v>29</v>
      </c>
      <c r="E10" s="1" t="s">
        <v>42</v>
      </c>
      <c r="F10" s="4">
        <v>2092900</v>
      </c>
      <c r="G10" s="4"/>
      <c r="H10" s="4">
        <f t="shared" si="0"/>
        <v>2092900</v>
      </c>
      <c r="I10" s="4">
        <f t="shared" si="1"/>
        <v>2092900</v>
      </c>
      <c r="J10" s="4"/>
      <c r="K10" s="4"/>
      <c r="L10" s="4"/>
      <c r="M10" s="4">
        <f t="shared" si="2"/>
        <v>2092900</v>
      </c>
      <c r="N10" s="4"/>
    </row>
    <row r="11" spans="1:14">
      <c r="A11" s="3">
        <v>9</v>
      </c>
      <c r="B11" s="1" t="s">
        <v>43</v>
      </c>
      <c r="C11" s="1" t="s">
        <v>44</v>
      </c>
      <c r="D11" s="1" t="s">
        <v>29</v>
      </c>
      <c r="E11" s="1" t="s">
        <v>45</v>
      </c>
      <c r="F11" s="4">
        <v>1787800</v>
      </c>
      <c r="G11" s="4"/>
      <c r="H11" s="4">
        <f t="shared" si="0"/>
        <v>1787800</v>
      </c>
      <c r="I11" s="4">
        <f t="shared" si="1"/>
        <v>1787800</v>
      </c>
      <c r="J11" s="4"/>
      <c r="K11" s="4"/>
      <c r="L11" s="4"/>
      <c r="M11" s="4">
        <f t="shared" si="2"/>
        <v>1787800</v>
      </c>
      <c r="N11" s="4"/>
    </row>
    <row r="12" spans="1:14">
      <c r="A12" s="3">
        <v>10</v>
      </c>
      <c r="B12" s="1" t="s">
        <v>46</v>
      </c>
      <c r="C12" s="1" t="s">
        <v>47</v>
      </c>
      <c r="D12" s="1" t="s">
        <v>19</v>
      </c>
      <c r="E12" s="1" t="s">
        <v>48</v>
      </c>
      <c r="F12" s="4">
        <v>2619600</v>
      </c>
      <c r="G12" s="4"/>
      <c r="H12" s="4">
        <f t="shared" si="0"/>
        <v>2619600</v>
      </c>
      <c r="I12" s="4">
        <f t="shared" si="1"/>
        <v>2619600</v>
      </c>
      <c r="J12" s="4"/>
      <c r="K12" s="4"/>
      <c r="L12" s="4"/>
      <c r="M12" s="4">
        <f t="shared" si="2"/>
        <v>2619600</v>
      </c>
      <c r="N12" s="4"/>
    </row>
    <row r="13" spans="1:14" ht="30">
      <c r="A13" s="3">
        <v>11</v>
      </c>
      <c r="B13" s="1" t="s">
        <v>49</v>
      </c>
      <c r="C13" s="1" t="s">
        <v>50</v>
      </c>
      <c r="D13" s="1" t="s">
        <v>19</v>
      </c>
      <c r="E13" s="1" t="s">
        <v>51</v>
      </c>
      <c r="F13" s="4">
        <v>2282300</v>
      </c>
      <c r="G13" s="4"/>
      <c r="H13" s="4">
        <f t="shared" si="0"/>
        <v>2282300</v>
      </c>
      <c r="I13" s="4">
        <f t="shared" si="1"/>
        <v>2282300</v>
      </c>
      <c r="J13" s="4"/>
      <c r="K13" s="4"/>
      <c r="L13" s="4"/>
      <c r="M13" s="4">
        <f t="shared" si="2"/>
        <v>2282300</v>
      </c>
      <c r="N13" s="4"/>
    </row>
    <row r="14" spans="1:14">
      <c r="A14" s="3">
        <v>12</v>
      </c>
      <c r="B14" s="1" t="s">
        <v>52</v>
      </c>
      <c r="C14" s="1" t="s">
        <v>53</v>
      </c>
      <c r="D14" s="1" t="s">
        <v>19</v>
      </c>
      <c r="E14" s="1" t="s">
        <v>54</v>
      </c>
      <c r="F14" s="4">
        <v>1635700</v>
      </c>
      <c r="G14" s="4"/>
      <c r="H14" s="4">
        <f t="shared" si="0"/>
        <v>1635700</v>
      </c>
      <c r="I14" s="4">
        <f t="shared" si="1"/>
        <v>1635700</v>
      </c>
      <c r="J14" s="4"/>
      <c r="K14" s="4"/>
      <c r="L14" s="4"/>
      <c r="M14" s="4">
        <f t="shared" si="2"/>
        <v>1635700</v>
      </c>
      <c r="N14" s="4"/>
    </row>
    <row r="15" spans="1:14">
      <c r="A15" s="3">
        <v>13</v>
      </c>
      <c r="B15" s="1" t="s">
        <v>55</v>
      </c>
      <c r="C15" s="1" t="s">
        <v>56</v>
      </c>
      <c r="D15" s="1" t="s">
        <v>29</v>
      </c>
      <c r="E15" s="1" t="s">
        <v>57</v>
      </c>
      <c r="F15" s="4">
        <v>3607000</v>
      </c>
      <c r="G15" s="4"/>
      <c r="H15" s="4">
        <f t="shared" si="0"/>
        <v>3607000</v>
      </c>
      <c r="I15" s="4">
        <f t="shared" si="1"/>
        <v>3607000</v>
      </c>
      <c r="J15" s="4"/>
      <c r="K15" s="4"/>
      <c r="L15" s="4"/>
      <c r="M15" s="4">
        <f t="shared" si="2"/>
        <v>3607000</v>
      </c>
      <c r="N15" s="4"/>
    </row>
    <row r="16" spans="1:14">
      <c r="A16" s="3">
        <v>14</v>
      </c>
      <c r="B16" s="1" t="s">
        <v>58</v>
      </c>
      <c r="C16" s="1" t="s">
        <v>59</v>
      </c>
      <c r="D16" s="1" t="s">
        <v>19</v>
      </c>
      <c r="E16" s="1" t="s">
        <v>60</v>
      </c>
      <c r="F16" s="4">
        <v>2212100</v>
      </c>
      <c r="G16" s="4"/>
      <c r="H16" s="4">
        <f t="shared" si="0"/>
        <v>2212100</v>
      </c>
      <c r="I16" s="4">
        <f t="shared" si="1"/>
        <v>2212100</v>
      </c>
      <c r="J16" s="4"/>
      <c r="K16" s="4"/>
      <c r="L16" s="4"/>
      <c r="M16" s="4">
        <f t="shared" si="2"/>
        <v>2212100</v>
      </c>
      <c r="N16" s="4"/>
    </row>
    <row r="17" spans="9:9">
      <c r="I17" s="5">
        <f>SUM(I3:I16)</f>
        <v>31645700</v>
      </c>
    </row>
  </sheetData>
  <autoFilter ref="A2:M2" xr:uid="{00000000-0009-0000-0000-000000000000}"/>
  <mergeCells count="4">
    <mergeCell ref="A1:E1"/>
    <mergeCell ref="F1:H1"/>
    <mergeCell ref="I1:J1"/>
    <mergeCell ref="K1:M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Tổng hợp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Hoàng Giang Nguyễn</cp:lastModifiedBy>
  <dcterms:modified xsi:type="dcterms:W3CDTF">2025-06-17T02:54:40Z</dcterms:modified>
</cp:coreProperties>
</file>