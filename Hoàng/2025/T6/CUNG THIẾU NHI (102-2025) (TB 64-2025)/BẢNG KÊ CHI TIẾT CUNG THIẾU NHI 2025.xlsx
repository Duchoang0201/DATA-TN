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6\CUNG THIẾU NHI (102-2025) (TB 64-2025)\"/>
    </mc:Choice>
  </mc:AlternateContent>
  <xr:revisionPtr revIDLastSave="0" documentId="13_ncr:1_{2EB907EB-6B6A-4114-87AF-F57E0D9303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definedNames>
    <definedName name="_xlnm._FilterDatabase" localSheetId="0" hidden="1">'Tổng hợp'!$A$3:$BS$18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18" i="1" l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4" i="1"/>
  <c r="BP18" i="1" l="1"/>
  <c r="BS4" i="1"/>
  <c r="BR4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BS7" i="1"/>
  <c r="BR7" i="1"/>
  <c r="BS6" i="1"/>
  <c r="BR6" i="1"/>
  <c r="BS5" i="1"/>
  <c r="BR5" i="1"/>
  <c r="BR18" i="1" l="1"/>
  <c r="BS18" i="1"/>
</calcChain>
</file>

<file path=xl/sharedStrings.xml><?xml version="1.0" encoding="utf-8"?>
<sst xmlns="http://schemas.openxmlformats.org/spreadsheetml/2006/main" count="1002" uniqueCount="128">
  <si>
    <t>Thông tin khách hàng</t>
  </si>
  <si>
    <t>Khám</t>
  </si>
  <si>
    <t>Cận lâm sàng</t>
  </si>
  <si>
    <t>Xét nghiệm</t>
  </si>
  <si>
    <t>STT</t>
  </si>
  <si>
    <t>Họ và tên</t>
  </si>
  <si>
    <t>Ngày sinh</t>
  </si>
  <si>
    <t>Giới tính</t>
  </si>
  <si>
    <t>Mã nhân viên</t>
  </si>
  <si>
    <t>Chức danh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</si>
  <si>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</si>
  <si>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</si>
  <si>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</si>
  <si>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</si>
  <si>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RHM-Khám Sức Khỏe (TT32_BYT)</t>
  </si>
  <si>
    <t>Khám TMH-Khám Sức Khỏe (TT32_BYT)</t>
  </si>
  <si>
    <t>Tổng Kết Hồ Sơ Khám Sức Khỏe (TT32_BYT)</t>
  </si>
  <si>
    <t>Chụp Cột sống cổ (T+N) (XQ số hóa 1 phim)</t>
  </si>
  <si>
    <t>Chụp Cột sống thắt lưng(T+N) (XQ số hóa 1 phim)</t>
  </si>
  <si>
    <t>Chụp Khớp gối hai bên (XQ số hóa 2 phim)</t>
  </si>
  <si>
    <t>Chụp X-Quang khớp gối T-N (XQ số hóa 1 phim)</t>
  </si>
  <si>
    <t>Chụp X-quang tim phổi kỹ thuật số (hãng Fuji-Nhật)</t>
  </si>
  <si>
    <t>Điện tâm đồ/ECG</t>
  </si>
  <si>
    <t>Nội soi mũi xoang</t>
  </si>
  <si>
    <t>Siêu âm màu Bụng Tổng Quát (Máy GE LOGIQ S7 Expert)</t>
  </si>
  <si>
    <t>Siêu âm màu Tuyến Giáp</t>
  </si>
  <si>
    <t>Siêu âm màu Tuyến Vú</t>
  </si>
  <si>
    <t>Siêu âm tim 2D (Máy Siemens SC 2000)</t>
  </si>
  <si>
    <t>Siêu âm tim 2D tiêu chuẩn kèm đánh giá chức năng toàn diện</t>
  </si>
  <si>
    <t>Siêu âm tĩnh mạch chi dưới</t>
  </si>
  <si>
    <t>Alpha FP (AFP)</t>
  </si>
  <si>
    <t>ALT (SGPT)</t>
  </si>
  <si>
    <t>Ancylostoma canium IgG (Giun móc chó mèo)</t>
  </si>
  <si>
    <t>AST (SGOT)</t>
  </si>
  <si>
    <t>CA 19-9</t>
  </si>
  <si>
    <t>CA 72-4</t>
  </si>
  <si>
    <t>Calci toàn phần</t>
  </si>
  <si>
    <t>CEA</t>
  </si>
  <si>
    <t>CYFRA 21.1</t>
  </si>
  <si>
    <t>Cholesterol TP</t>
  </si>
  <si>
    <t>Điện giải đồ (Na+,K+,Cl-)</t>
  </si>
  <si>
    <t>Định lượng ACID URIC máu</t>
  </si>
  <si>
    <t>Định lượng Ca++ máu (Calci ion hoá)</t>
  </si>
  <si>
    <t>Định lượng CREATINIE máu</t>
  </si>
  <si>
    <t>Định lượng GLUCOSE máu</t>
  </si>
  <si>
    <t>Độ lọc cầu thận - eGFR (MDRD)</t>
  </si>
  <si>
    <t>Echinococcus granulosis IgM (Sán dây/dải chó)</t>
  </si>
  <si>
    <t>Fe (Định lượng sắt huyết thanh)</t>
  </si>
  <si>
    <t>Ferritin</t>
  </si>
  <si>
    <t>Free T4</t>
  </si>
  <si>
    <t>Gamma GT</t>
  </si>
  <si>
    <t>HbA1C</t>
  </si>
  <si>
    <t>HDL-Cholesterol</t>
  </si>
  <si>
    <t>LDL-cholesterol</t>
  </si>
  <si>
    <t>NSE</t>
  </si>
  <si>
    <t>NƯỚC TIỂU 10 THÔNG SỐ (KSK)</t>
  </si>
  <si>
    <t>Nhuộm phiến đồ tế bào theo Papanicolaou</t>
  </si>
  <si>
    <t>Pepsinogene</t>
  </si>
  <si>
    <t>SCC</t>
  </si>
  <si>
    <t>Total PSA, Free PSA và Tỷ lệ %</t>
  </si>
  <si>
    <t>Total T3</t>
  </si>
  <si>
    <t>Toxocara canis IgG (Giun đũa chó)</t>
  </si>
  <si>
    <t>Tổng phân tích tế bào máu bằng máy laser</t>
  </si>
  <si>
    <t>TSH</t>
  </si>
  <si>
    <t>Thyroglobulin (TG)</t>
  </si>
  <si>
    <t>Triglyceride</t>
  </si>
  <si>
    <t>Urea</t>
  </si>
  <si>
    <t>VLDL</t>
  </si>
  <si>
    <t>Xác định DNA trong viêm gan B (HBV - DNA)</t>
  </si>
  <si>
    <t>Xét nghiệm HBsAg (ECLIA)</t>
  </si>
  <si>
    <t>Xét nghiệm Pro-GRP</t>
  </si>
  <si>
    <t/>
  </si>
  <si>
    <t>Ngô Thị Ngân Hà</t>
  </si>
  <si>
    <t>1984</t>
  </si>
  <si>
    <t>Nữ</t>
  </si>
  <si>
    <t>NV01</t>
  </si>
  <si>
    <t>Trưởng phòng</t>
  </si>
  <si>
    <t>X</t>
  </si>
  <si>
    <t>Phan Thị Thanh Hiền</t>
  </si>
  <si>
    <t>1981</t>
  </si>
  <si>
    <t>NV02</t>
  </si>
  <si>
    <t>PGĐ</t>
  </si>
  <si>
    <t>Trương Thị Mỹ Linh</t>
  </si>
  <si>
    <t>1992</t>
  </si>
  <si>
    <t>NV03</t>
  </si>
  <si>
    <t>Nhân viên</t>
  </si>
  <si>
    <t>Hoàng Quang Vũ</t>
  </si>
  <si>
    <t>1989</t>
  </si>
  <si>
    <t>Nam</t>
  </si>
  <si>
    <t>NV04</t>
  </si>
  <si>
    <t>Lê Thị Phương Thảo</t>
  </si>
  <si>
    <t>1991</t>
  </si>
  <si>
    <t>NV05</t>
  </si>
  <si>
    <t>Nguyễn Văn Chính</t>
  </si>
  <si>
    <t>1985</t>
  </si>
  <si>
    <t>NV07</t>
  </si>
  <si>
    <t>Nguyễn Thị Thu Hoàng</t>
  </si>
  <si>
    <t>1990</t>
  </si>
  <si>
    <t>NV08</t>
  </si>
  <si>
    <t>Bùi Thiên Vỹ</t>
  </si>
  <si>
    <t>1986</t>
  </si>
  <si>
    <t>NV09</t>
  </si>
  <si>
    <t>Nguyễn Thái Long Vương</t>
  </si>
  <si>
    <t>1995</t>
  </si>
  <si>
    <t>NV10</t>
  </si>
  <si>
    <t>Nguyễn Thị Xuân Trinh</t>
  </si>
  <si>
    <t>1969</t>
  </si>
  <si>
    <t>NV11</t>
  </si>
  <si>
    <t>NHân viên</t>
  </si>
  <si>
    <t>Phan Nguyễn Thị Thu Khanh</t>
  </si>
  <si>
    <t>1971</t>
  </si>
  <si>
    <t>NV12</t>
  </si>
  <si>
    <t>Huỳnh Thị Lệ Thu</t>
  </si>
  <si>
    <t>1978</t>
  </si>
  <si>
    <t>NV14</t>
  </si>
  <si>
    <t>Nguyễn Nhẫn</t>
  </si>
  <si>
    <t>1976</t>
  </si>
  <si>
    <t>NV06</t>
  </si>
  <si>
    <t>GĐ</t>
  </si>
  <si>
    <t>Nông Thị Hồng Điệp</t>
  </si>
  <si>
    <t>1987</t>
  </si>
  <si>
    <t>NV13</t>
  </si>
  <si>
    <t>CHI PHÍ</t>
  </si>
  <si>
    <t>ĐỊNH MỨC</t>
  </si>
  <si>
    <t>THANH LÝ</t>
  </si>
  <si>
    <t>TỔNG CỘNG</t>
  </si>
  <si>
    <t>Ưu đãi trong gói</t>
  </si>
  <si>
    <t>MỨC PHÁT SINH CẦN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</si>
</sst>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theme="1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6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3" fillId="0" borderId="1" xfId="0" applyFont="1" applyBorder="1"/>
    <xf numFmtId="0" fontId="2" fillId="0" borderId="2" xfId="0" applyFont="1" applyBorder="1" applyAlignment="1">
      <alignment vertical="top"/>
    </xf>
    <xf numFmtId="3" fontId="4" fillId="0" borderId="6" xfId="0" applyNumberFormat="1" applyFont="1" applyBorder="1" applyAlignment="1">
      <alignment horizontal="center" vertical="center"/>
    </xf>
    <xf numFmtId="3" fontId="6" fillId="0" borderId="6" xfId="0" applyNumberFormat="1" applyFont="1" applyBorder="1"/>
    <xf numFmtId="0" fontId="6" fillId="0" borderId="6" xfId="0" applyFont="1" applyBorder="1" applyAlignment="1">
      <alignment horizontal="center"/>
    </xf>
    <xf numFmtId="0" fontId="3" fillId="0" borderId="2" xfId="0" applyFont="1" applyBorder="1" applyAlignment="1">
      <alignment vertical="top" wrapText="1"/>
    </xf>
    <xf numFmtId="0" fontId="3" fillId="0" borderId="1" xfId="0" applyFont="1" applyBorder="1"/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center" wrapText="1"/>
    </xf>
    <xf numFmtId="0" fontId="0" fillId="2" borderId="0" xfId="0" applyFill="1"/>
    <xf numFmtId="0" fontId="3" fillId="2" borderId="5" xfId="0" applyFont="1" applyFill="1" applyBorder="1"/>
    <xf numFmtId="3" fontId="3" fillId="2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Normal 2" xfId="1" xr:uid="{07322B11-6D29-4EE8-9FB5-24BF2F40FD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8"/>
  <sheetViews>
    <sheetView tabSelected="1" workbookViewId="0">
      <pane xSplit="2" ySplit="3" topLeftCell="BI13" activePane="bottomRight" state="frozen"/>
      <selection pane="topRight" activeCell="C1" sqref="C1"/>
      <selection pane="bottomLeft" activeCell="A4" sqref="A4"/>
      <selection pane="bottomRight" activeCell="BQ16" sqref="BQ16"/>
    </sheetView>
  </sheetViews>
  <sheetFormatPr defaultRowHeight="15"/>
  <cols>
    <col min="2" max="2" width="25" customWidth="1"/>
    <col min="3" max="3" width="10" customWidth="1"/>
    <col min="5" max="67" width="15" customWidth="1"/>
    <col min="68" max="70" width="11.28515625" bestFit="1" customWidth="1"/>
    <col min="71" max="71" width="10.140625" bestFit="1" customWidth="1"/>
  </cols>
  <sheetData>
    <row r="1" spans="1:71">
      <c r="A1" s="9" t="s">
        <v>0</v>
      </c>
      <c r="B1" s="10"/>
      <c r="C1" s="10"/>
      <c r="D1" s="10"/>
      <c r="E1" s="10"/>
      <c r="F1" s="10"/>
      <c r="G1" s="9" t="s">
        <v>1</v>
      </c>
      <c r="H1" s="10"/>
      <c r="I1" s="10"/>
      <c r="J1" s="10"/>
      <c r="K1" s="10"/>
      <c r="L1" s="10"/>
      <c r="M1" s="10"/>
      <c r="N1" s="9" t="s">
        <v>2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2" t="s">
        <v>3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71" s="14" customFormat="1" ht="71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2" t="s">
        <v>10</v>
      </c>
      <c r="H2" s="12" t="s">
        <v>11</v>
      </c>
      <c r="I2" s="12" t="s">
        <v>12</v>
      </c>
      <c r="J2" s="12" t="s">
        <v>13</v>
      </c>
      <c r="K2" s="12" t="s">
        <v>14</v>
      </c>
      <c r="L2" s="12" t="s">
        <v>15</v>
      </c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  <c r="T2" s="12" t="s">
        <v>23</v>
      </c>
      <c r="U2" s="12" t="s">
        <v>24</v>
      </c>
      <c r="V2" s="12" t="s">
        <v>25</v>
      </c>
      <c r="W2" s="12" t="s">
        <v>26</v>
      </c>
      <c r="X2" s="12" t="s">
        <v>27</v>
      </c>
      <c r="Y2" s="12" t="s">
        <v>28</v>
      </c>
      <c r="Z2" s="12" t="s">
        <v>29</v>
      </c>
      <c r="AA2" s="12" t="s">
        <v>30</v>
      </c>
      <c r="AB2" s="12" t="s">
        <v>33</v>
      </c>
      <c r="AC2" s="12" t="s">
        <v>31</v>
      </c>
      <c r="AD2" s="12" t="s">
        <v>32</v>
      </c>
      <c r="AE2" s="12" t="s">
        <v>34</v>
      </c>
      <c r="AF2" s="12" t="s">
        <v>35</v>
      </c>
      <c r="AG2" s="12" t="s">
        <v>36</v>
      </c>
      <c r="AH2" s="12" t="s">
        <v>37</v>
      </c>
      <c r="AI2" s="12" t="s">
        <v>38</v>
      </c>
      <c r="AJ2" s="12" t="s">
        <v>39</v>
      </c>
      <c r="AK2" s="12" t="s">
        <v>40</v>
      </c>
      <c r="AL2" s="12" t="s">
        <v>41</v>
      </c>
      <c r="AM2" s="12" t="s">
        <v>42</v>
      </c>
      <c r="AN2" s="12" t="s">
        <v>43</v>
      </c>
      <c r="AO2" s="12" t="s">
        <v>44</v>
      </c>
      <c r="AP2" s="12" t="s">
        <v>45</v>
      </c>
      <c r="AQ2" s="12" t="s">
        <v>46</v>
      </c>
      <c r="AR2" s="12" t="s">
        <v>47</v>
      </c>
      <c r="AS2" s="12" t="s">
        <v>48</v>
      </c>
      <c r="AT2" s="12" t="s">
        <v>49</v>
      </c>
      <c r="AU2" s="12" t="s">
        <v>50</v>
      </c>
      <c r="AV2" s="12" t="s">
        <v>51</v>
      </c>
      <c r="AW2" s="12" t="s">
        <v>52</v>
      </c>
      <c r="AX2" s="12" t="s">
        <v>53</v>
      </c>
      <c r="AY2" s="12" t="s">
        <v>54</v>
      </c>
      <c r="AZ2" s="12" t="s">
        <v>55</v>
      </c>
      <c r="BA2" s="12" t="s">
        <v>56</v>
      </c>
      <c r="BB2" s="12" t="s">
        <v>57</v>
      </c>
      <c r="BC2" s="12" t="s">
        <v>58</v>
      </c>
      <c r="BD2" s="12" t="s">
        <v>59</v>
      </c>
      <c r="BE2" s="12" t="s">
        <v>60</v>
      </c>
      <c r="BF2" s="12" t="s">
        <v>61</v>
      </c>
      <c r="BG2" s="12" t="s">
        <v>62</v>
      </c>
      <c r="BH2" s="12" t="s">
        <v>63</v>
      </c>
      <c r="BI2" s="12" t="s">
        <v>64</v>
      </c>
      <c r="BJ2" s="12" t="s">
        <v>65</v>
      </c>
      <c r="BK2" s="12" t="s">
        <v>66</v>
      </c>
      <c r="BL2" s="12" t="s">
        <v>67</v>
      </c>
      <c r="BM2" s="12" t="s">
        <v>68</v>
      </c>
      <c r="BN2" s="12" t="s">
        <v>69</v>
      </c>
      <c r="BO2" s="12" t="s">
        <v>70</v>
      </c>
      <c r="BP2" s="13" t="s">
        <v>122</v>
      </c>
      <c r="BQ2" s="13" t="s">
        <v>123</v>
      </c>
      <c r="BR2" s="13" t="s">
        <v>124</v>
      </c>
      <c r="BS2" s="13" t="s">
        <v>127</v>
      </c>
    </row>
    <row r="3" spans="1:71" s="20" customFormat="1" ht="28.5">
      <c r="A3" s="15"/>
      <c r="B3" s="15"/>
      <c r="C3" s="15"/>
      <c r="D3" s="15"/>
      <c r="E3" s="15"/>
      <c r="F3" s="15"/>
      <c r="G3" s="16">
        <v>10000</v>
      </c>
      <c r="H3" s="16">
        <v>10000</v>
      </c>
      <c r="I3" s="16">
        <v>80000</v>
      </c>
      <c r="J3" s="17" t="s">
        <v>126</v>
      </c>
      <c r="K3" s="16">
        <v>10000</v>
      </c>
      <c r="L3" s="16">
        <v>10000</v>
      </c>
      <c r="M3" s="17" t="s">
        <v>126</v>
      </c>
      <c r="N3" s="16">
        <v>141300</v>
      </c>
      <c r="O3" s="16">
        <v>141300</v>
      </c>
      <c r="P3" s="16">
        <v>166500</v>
      </c>
      <c r="Q3" s="16">
        <v>128700</v>
      </c>
      <c r="R3" s="16">
        <v>80000</v>
      </c>
      <c r="S3" s="16">
        <v>70000</v>
      </c>
      <c r="T3" s="16">
        <v>135900</v>
      </c>
      <c r="U3" s="16">
        <v>155000</v>
      </c>
      <c r="V3" s="16">
        <v>155000</v>
      </c>
      <c r="W3" s="16">
        <v>155000</v>
      </c>
      <c r="X3" s="16">
        <v>225000</v>
      </c>
      <c r="Y3" s="16">
        <v>450000</v>
      </c>
      <c r="Z3" s="16">
        <v>424000</v>
      </c>
      <c r="AA3" s="16">
        <v>108900</v>
      </c>
      <c r="AB3" s="18">
        <v>48000</v>
      </c>
      <c r="AC3" s="19"/>
      <c r="AD3" s="16">
        <v>168300</v>
      </c>
      <c r="AE3" s="16">
        <v>172800</v>
      </c>
      <c r="AF3" s="16">
        <v>207900</v>
      </c>
      <c r="AG3" s="16">
        <v>18000</v>
      </c>
      <c r="AH3" s="16">
        <v>156600</v>
      </c>
      <c r="AI3" s="16">
        <v>155700</v>
      </c>
      <c r="AJ3" s="16">
        <v>42300</v>
      </c>
      <c r="AK3" s="16">
        <v>115200</v>
      </c>
      <c r="AL3" s="16">
        <v>36900</v>
      </c>
      <c r="AM3" s="16">
        <v>27000</v>
      </c>
      <c r="AN3" s="16">
        <v>42000</v>
      </c>
      <c r="AO3" s="16">
        <v>27000</v>
      </c>
      <c r="AP3" s="16">
        <v>36900</v>
      </c>
      <c r="AQ3" s="16">
        <v>170100</v>
      </c>
      <c r="AR3" s="16">
        <v>63900</v>
      </c>
      <c r="AS3" s="16">
        <v>124200</v>
      </c>
      <c r="AT3" s="16">
        <v>123300</v>
      </c>
      <c r="AU3" s="16">
        <v>36900</v>
      </c>
      <c r="AV3" s="16">
        <v>152100</v>
      </c>
      <c r="AW3" s="16">
        <v>36900</v>
      </c>
      <c r="AX3" s="16">
        <v>53100</v>
      </c>
      <c r="AY3" s="16">
        <v>207900</v>
      </c>
      <c r="AZ3" s="16">
        <v>33000</v>
      </c>
      <c r="BA3" s="16">
        <v>296100</v>
      </c>
      <c r="BB3" s="16">
        <v>658800</v>
      </c>
      <c r="BC3" s="16">
        <v>370800</v>
      </c>
      <c r="BD3" s="16">
        <v>261000</v>
      </c>
      <c r="BE3" s="16">
        <v>187200</v>
      </c>
      <c r="BF3" s="16">
        <v>180900</v>
      </c>
      <c r="BG3" s="16">
        <v>40000</v>
      </c>
      <c r="BH3" s="16">
        <v>123300</v>
      </c>
      <c r="BI3" s="16">
        <v>193500</v>
      </c>
      <c r="BJ3" s="16">
        <v>36900</v>
      </c>
      <c r="BK3" s="16">
        <v>36900</v>
      </c>
      <c r="BL3" s="16">
        <v>53100</v>
      </c>
      <c r="BM3" s="16">
        <v>781200</v>
      </c>
      <c r="BN3" s="16">
        <v>110700</v>
      </c>
      <c r="BO3" s="16">
        <v>450000</v>
      </c>
      <c r="BP3" s="13"/>
      <c r="BQ3" s="13"/>
      <c r="BR3" s="13"/>
      <c r="BS3" s="13"/>
    </row>
    <row r="4" spans="1:71">
      <c r="A4" s="3">
        <v>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3" t="s">
        <v>71</v>
      </c>
      <c r="H4" s="3" t="s">
        <v>77</v>
      </c>
      <c r="I4" s="3" t="s">
        <v>77</v>
      </c>
      <c r="J4" s="3" t="s">
        <v>77</v>
      </c>
      <c r="K4" s="3" t="s">
        <v>77</v>
      </c>
      <c r="L4" s="3" t="s">
        <v>71</v>
      </c>
      <c r="M4" s="3" t="s">
        <v>77</v>
      </c>
      <c r="N4" s="3" t="s">
        <v>77</v>
      </c>
      <c r="O4" s="3" t="s">
        <v>71</v>
      </c>
      <c r="P4" s="3" t="s">
        <v>71</v>
      </c>
      <c r="Q4" s="3" t="s">
        <v>71</v>
      </c>
      <c r="R4" s="3" t="s">
        <v>77</v>
      </c>
      <c r="S4" s="3" t="s">
        <v>77</v>
      </c>
      <c r="T4" s="3" t="s">
        <v>71</v>
      </c>
      <c r="U4" s="3" t="s">
        <v>77</v>
      </c>
      <c r="V4" s="3" t="s">
        <v>77</v>
      </c>
      <c r="W4" s="3" t="s">
        <v>71</v>
      </c>
      <c r="X4" s="3" t="s">
        <v>71</v>
      </c>
      <c r="Y4" s="3" t="s">
        <v>77</v>
      </c>
      <c r="Z4" s="3" t="s">
        <v>71</v>
      </c>
      <c r="AA4" s="3" t="s">
        <v>71</v>
      </c>
      <c r="AB4" s="3" t="s">
        <v>71</v>
      </c>
      <c r="AC4" s="3" t="s">
        <v>71</v>
      </c>
      <c r="AD4" s="3" t="s">
        <v>71</v>
      </c>
      <c r="AE4" s="3" t="s">
        <v>71</v>
      </c>
      <c r="AF4" s="3" t="s">
        <v>71</v>
      </c>
      <c r="AG4" s="3" t="s">
        <v>71</v>
      </c>
      <c r="AH4" s="3" t="s">
        <v>71</v>
      </c>
      <c r="AI4" s="3" t="s">
        <v>71</v>
      </c>
      <c r="AJ4" s="3" t="s">
        <v>71</v>
      </c>
      <c r="AK4" s="3" t="s">
        <v>71</v>
      </c>
      <c r="AL4" s="3" t="s">
        <v>71</v>
      </c>
      <c r="AM4" s="3" t="s">
        <v>71</v>
      </c>
      <c r="AN4" s="3" t="s">
        <v>71</v>
      </c>
      <c r="AO4" s="3" t="s">
        <v>71</v>
      </c>
      <c r="AP4" s="3" t="s">
        <v>77</v>
      </c>
      <c r="AQ4" s="3" t="s">
        <v>71</v>
      </c>
      <c r="AR4" s="3" t="s">
        <v>71</v>
      </c>
      <c r="AS4" s="3" t="s">
        <v>71</v>
      </c>
      <c r="AT4" s="3" t="s">
        <v>71</v>
      </c>
      <c r="AU4" s="3" t="s">
        <v>71</v>
      </c>
      <c r="AV4" s="3" t="s">
        <v>71</v>
      </c>
      <c r="AW4" s="3" t="s">
        <v>71</v>
      </c>
      <c r="AX4" s="3" t="s">
        <v>71</v>
      </c>
      <c r="AY4" s="3" t="s">
        <v>71</v>
      </c>
      <c r="AZ4" s="3" t="s">
        <v>77</v>
      </c>
      <c r="BA4" s="3" t="s">
        <v>71</v>
      </c>
      <c r="BB4" s="3" t="s">
        <v>77</v>
      </c>
      <c r="BC4" s="3" t="s">
        <v>77</v>
      </c>
      <c r="BD4" s="3" t="s">
        <v>71</v>
      </c>
      <c r="BE4" s="3" t="s">
        <v>71</v>
      </c>
      <c r="BF4" s="3" t="s">
        <v>71</v>
      </c>
      <c r="BG4" s="3" t="s">
        <v>77</v>
      </c>
      <c r="BH4" s="3" t="s">
        <v>71</v>
      </c>
      <c r="BI4" s="3" t="s">
        <v>71</v>
      </c>
      <c r="BJ4" s="3" t="s">
        <v>71</v>
      </c>
      <c r="BK4" s="3" t="s">
        <v>71</v>
      </c>
      <c r="BL4" s="3" t="s">
        <v>71</v>
      </c>
      <c r="BM4" s="3" t="s">
        <v>71</v>
      </c>
      <c r="BN4" s="3" t="s">
        <v>71</v>
      </c>
      <c r="BO4" s="5" t="s">
        <v>71</v>
      </c>
      <c r="BP4" s="6">
        <f t="shared" ref="BP4:BP17" si="0">SUMIF(G4:BO4,"X",$G$3:$BO$3)</f>
        <v>2290800</v>
      </c>
      <c r="BQ4" s="6">
        <v>2000000</v>
      </c>
      <c r="BR4" s="6">
        <f t="shared" ref="BR4:BR17" si="1">MAX(IF(BP4-BQ4&gt;0,$BQ$4,BP4),0)</f>
        <v>2000000</v>
      </c>
      <c r="BS4" s="6">
        <f>MAX(BP4-BQ4,0)</f>
        <v>290800</v>
      </c>
    </row>
    <row r="5" spans="1:71">
      <c r="A5" s="3">
        <v>2</v>
      </c>
      <c r="B5" s="1" t="s">
        <v>78</v>
      </c>
      <c r="C5" s="1" t="s">
        <v>79</v>
      </c>
      <c r="D5" s="1" t="s">
        <v>74</v>
      </c>
      <c r="E5" s="1" t="s">
        <v>80</v>
      </c>
      <c r="F5" s="1" t="s">
        <v>81</v>
      </c>
      <c r="G5" s="3" t="s">
        <v>71</v>
      </c>
      <c r="H5" s="3" t="s">
        <v>71</v>
      </c>
      <c r="I5" s="3" t="s">
        <v>71</v>
      </c>
      <c r="J5" s="3" t="s">
        <v>71</v>
      </c>
      <c r="K5" s="3" t="s">
        <v>71</v>
      </c>
      <c r="L5" s="3" t="s">
        <v>71</v>
      </c>
      <c r="M5" s="3" t="s">
        <v>77</v>
      </c>
      <c r="N5" s="3" t="s">
        <v>77</v>
      </c>
      <c r="O5" s="3" t="s">
        <v>71</v>
      </c>
      <c r="P5" s="3" t="s">
        <v>71</v>
      </c>
      <c r="Q5" s="3" t="s">
        <v>71</v>
      </c>
      <c r="R5" s="3" t="s">
        <v>71</v>
      </c>
      <c r="S5" s="3" t="s">
        <v>71</v>
      </c>
      <c r="T5" s="3" t="s">
        <v>71</v>
      </c>
      <c r="U5" s="3" t="s">
        <v>71</v>
      </c>
      <c r="V5" s="3" t="s">
        <v>77</v>
      </c>
      <c r="W5" s="3" t="s">
        <v>71</v>
      </c>
      <c r="X5" s="3" t="s">
        <v>71</v>
      </c>
      <c r="Y5" s="3" t="s">
        <v>71</v>
      </c>
      <c r="Z5" s="3" t="s">
        <v>71</v>
      </c>
      <c r="AA5" s="3" t="s">
        <v>71</v>
      </c>
      <c r="AB5" s="3" t="s">
        <v>71</v>
      </c>
      <c r="AC5" s="3" t="s">
        <v>71</v>
      </c>
      <c r="AD5" s="3" t="s">
        <v>71</v>
      </c>
      <c r="AE5" s="3" t="s">
        <v>71</v>
      </c>
      <c r="AF5" s="3" t="s">
        <v>71</v>
      </c>
      <c r="AG5" s="3" t="s">
        <v>71</v>
      </c>
      <c r="AH5" s="3" t="s">
        <v>71</v>
      </c>
      <c r="AI5" s="3" t="s">
        <v>71</v>
      </c>
      <c r="AJ5" s="3" t="s">
        <v>71</v>
      </c>
      <c r="AK5" s="3" t="s">
        <v>71</v>
      </c>
      <c r="AL5" s="3" t="s">
        <v>71</v>
      </c>
      <c r="AM5" s="3" t="s">
        <v>71</v>
      </c>
      <c r="AN5" s="3" t="s">
        <v>71</v>
      </c>
      <c r="AO5" s="3" t="s">
        <v>77</v>
      </c>
      <c r="AP5" s="3" t="s">
        <v>77</v>
      </c>
      <c r="AQ5" s="3" t="s">
        <v>71</v>
      </c>
      <c r="AR5" s="3" t="s">
        <v>71</v>
      </c>
      <c r="AS5" s="3" t="s">
        <v>71</v>
      </c>
      <c r="AT5" s="3" t="s">
        <v>77</v>
      </c>
      <c r="AU5" s="3" t="s">
        <v>71</v>
      </c>
      <c r="AV5" s="3" t="s">
        <v>71</v>
      </c>
      <c r="AW5" s="3" t="s">
        <v>71</v>
      </c>
      <c r="AX5" s="3" t="s">
        <v>71</v>
      </c>
      <c r="AY5" s="3" t="s">
        <v>71</v>
      </c>
      <c r="AZ5" s="3" t="s">
        <v>71</v>
      </c>
      <c r="BA5" s="3" t="s">
        <v>71</v>
      </c>
      <c r="BB5" s="3" t="s">
        <v>77</v>
      </c>
      <c r="BC5" s="3" t="s">
        <v>77</v>
      </c>
      <c r="BD5" s="3" t="s">
        <v>71</v>
      </c>
      <c r="BE5" s="3" t="s">
        <v>77</v>
      </c>
      <c r="BF5" s="3" t="s">
        <v>71</v>
      </c>
      <c r="BG5" s="3" t="s">
        <v>77</v>
      </c>
      <c r="BH5" s="3" t="s">
        <v>77</v>
      </c>
      <c r="BI5" s="3" t="s">
        <v>77</v>
      </c>
      <c r="BJ5" s="3" t="s">
        <v>71</v>
      </c>
      <c r="BK5" s="3" t="s">
        <v>71</v>
      </c>
      <c r="BL5" s="3" t="s">
        <v>71</v>
      </c>
      <c r="BM5" s="3" t="s">
        <v>71</v>
      </c>
      <c r="BN5" s="3" t="s">
        <v>71</v>
      </c>
      <c r="BO5" s="5" t="s">
        <v>71</v>
      </c>
      <c r="BP5" s="6">
        <f t="shared" si="0"/>
        <v>2057100</v>
      </c>
      <c r="BQ5" s="6">
        <v>2000000</v>
      </c>
      <c r="BR5" s="6">
        <f t="shared" si="1"/>
        <v>2000000</v>
      </c>
      <c r="BS5" s="6">
        <f t="shared" ref="BS5:BS17" si="2">MAX(BP5-BQ5,0)</f>
        <v>57100</v>
      </c>
    </row>
    <row r="6" spans="1:71">
      <c r="A6" s="3">
        <v>3</v>
      </c>
      <c r="B6" s="1" t="s">
        <v>82</v>
      </c>
      <c r="C6" s="1" t="s">
        <v>83</v>
      </c>
      <c r="D6" s="1" t="s">
        <v>74</v>
      </c>
      <c r="E6" s="1" t="s">
        <v>84</v>
      </c>
      <c r="F6" s="1" t="s">
        <v>85</v>
      </c>
      <c r="G6" s="3" t="s">
        <v>77</v>
      </c>
      <c r="H6" s="3" t="s">
        <v>77</v>
      </c>
      <c r="I6" s="3" t="s">
        <v>77</v>
      </c>
      <c r="J6" s="3" t="s">
        <v>77</v>
      </c>
      <c r="K6" s="3" t="s">
        <v>77</v>
      </c>
      <c r="L6" s="3" t="s">
        <v>77</v>
      </c>
      <c r="M6" s="3" t="s">
        <v>77</v>
      </c>
      <c r="N6" s="3" t="s">
        <v>71</v>
      </c>
      <c r="O6" s="3" t="s">
        <v>71</v>
      </c>
      <c r="P6" s="3" t="s">
        <v>71</v>
      </c>
      <c r="Q6" s="3" t="s">
        <v>71</v>
      </c>
      <c r="R6" s="3" t="s">
        <v>77</v>
      </c>
      <c r="S6" s="3" t="s">
        <v>71</v>
      </c>
      <c r="T6" s="3" t="s">
        <v>71</v>
      </c>
      <c r="U6" s="3" t="s">
        <v>77</v>
      </c>
      <c r="V6" s="3" t="s">
        <v>77</v>
      </c>
      <c r="W6" s="3" t="s">
        <v>77</v>
      </c>
      <c r="X6" s="3" t="s">
        <v>71</v>
      </c>
      <c r="Y6" s="3" t="s">
        <v>71</v>
      </c>
      <c r="Z6" s="3" t="s">
        <v>71</v>
      </c>
      <c r="AA6" s="3" t="s">
        <v>71</v>
      </c>
      <c r="AB6" s="3" t="s">
        <v>71</v>
      </c>
      <c r="AC6" s="3" t="s">
        <v>71</v>
      </c>
      <c r="AD6" s="3" t="s">
        <v>71</v>
      </c>
      <c r="AE6" s="3" t="s">
        <v>77</v>
      </c>
      <c r="AF6" s="3" t="s">
        <v>71</v>
      </c>
      <c r="AG6" s="3" t="s">
        <v>71</v>
      </c>
      <c r="AH6" s="3" t="s">
        <v>71</v>
      </c>
      <c r="AI6" s="3" t="s">
        <v>71</v>
      </c>
      <c r="AJ6" s="3" t="s">
        <v>77</v>
      </c>
      <c r="AK6" s="3" t="s">
        <v>71</v>
      </c>
      <c r="AL6" s="3" t="s">
        <v>71</v>
      </c>
      <c r="AM6" s="3" t="s">
        <v>77</v>
      </c>
      <c r="AN6" s="3" t="s">
        <v>77</v>
      </c>
      <c r="AO6" s="3" t="s">
        <v>77</v>
      </c>
      <c r="AP6" s="3" t="s">
        <v>71</v>
      </c>
      <c r="AQ6" s="3" t="s">
        <v>71</v>
      </c>
      <c r="AR6" s="3" t="s">
        <v>71</v>
      </c>
      <c r="AS6" s="3" t="s">
        <v>71</v>
      </c>
      <c r="AT6" s="3" t="s">
        <v>77</v>
      </c>
      <c r="AU6" s="3" t="s">
        <v>71</v>
      </c>
      <c r="AV6" s="3" t="s">
        <v>77</v>
      </c>
      <c r="AW6" s="3" t="s">
        <v>77</v>
      </c>
      <c r="AX6" s="3" t="s">
        <v>77</v>
      </c>
      <c r="AY6" s="3" t="s">
        <v>71</v>
      </c>
      <c r="AZ6" s="3" t="s">
        <v>77</v>
      </c>
      <c r="BA6" s="3" t="s">
        <v>71</v>
      </c>
      <c r="BB6" s="3" t="s">
        <v>71</v>
      </c>
      <c r="BC6" s="3" t="s">
        <v>71</v>
      </c>
      <c r="BD6" s="3" t="s">
        <v>71</v>
      </c>
      <c r="BE6" s="3" t="s">
        <v>71</v>
      </c>
      <c r="BF6" s="3" t="s">
        <v>71</v>
      </c>
      <c r="BG6" s="3" t="s">
        <v>77</v>
      </c>
      <c r="BH6" s="3" t="s">
        <v>77</v>
      </c>
      <c r="BI6" s="3" t="s">
        <v>71</v>
      </c>
      <c r="BJ6" s="3" t="s">
        <v>77</v>
      </c>
      <c r="BK6" s="3" t="s">
        <v>77</v>
      </c>
      <c r="BL6" s="3" t="s">
        <v>77</v>
      </c>
      <c r="BM6" s="3" t="s">
        <v>77</v>
      </c>
      <c r="BN6" s="3" t="s">
        <v>77</v>
      </c>
      <c r="BO6" s="5" t="s">
        <v>71</v>
      </c>
      <c r="BP6" s="6">
        <f t="shared" si="0"/>
        <v>2556600</v>
      </c>
      <c r="BQ6" s="6">
        <v>2000000</v>
      </c>
      <c r="BR6" s="6">
        <f t="shared" si="1"/>
        <v>2000000</v>
      </c>
      <c r="BS6" s="6">
        <f t="shared" si="2"/>
        <v>556600</v>
      </c>
    </row>
    <row r="7" spans="1:71">
      <c r="A7" s="3">
        <v>4</v>
      </c>
      <c r="B7" s="1" t="s">
        <v>86</v>
      </c>
      <c r="C7" s="1" t="s">
        <v>87</v>
      </c>
      <c r="D7" s="1" t="s">
        <v>88</v>
      </c>
      <c r="E7" s="1" t="s">
        <v>89</v>
      </c>
      <c r="F7" s="1" t="s">
        <v>85</v>
      </c>
      <c r="G7" s="3" t="s">
        <v>71</v>
      </c>
      <c r="H7" s="3" t="s">
        <v>77</v>
      </c>
      <c r="I7" s="3" t="s">
        <v>77</v>
      </c>
      <c r="J7" s="3" t="s">
        <v>77</v>
      </c>
      <c r="K7" s="3" t="s">
        <v>77</v>
      </c>
      <c r="L7" s="3" t="s">
        <v>77</v>
      </c>
      <c r="M7" s="3" t="s">
        <v>77</v>
      </c>
      <c r="N7" s="3" t="s">
        <v>71</v>
      </c>
      <c r="O7" s="3" t="s">
        <v>71</v>
      </c>
      <c r="P7" s="3" t="s">
        <v>77</v>
      </c>
      <c r="Q7" s="3" t="s">
        <v>71</v>
      </c>
      <c r="R7" s="3" t="s">
        <v>77</v>
      </c>
      <c r="S7" s="3" t="s">
        <v>71</v>
      </c>
      <c r="T7" s="3" t="s">
        <v>71</v>
      </c>
      <c r="U7" s="3" t="s">
        <v>77</v>
      </c>
      <c r="V7" s="3" t="s">
        <v>77</v>
      </c>
      <c r="W7" s="3" t="s">
        <v>71</v>
      </c>
      <c r="X7" s="3" t="s">
        <v>71</v>
      </c>
      <c r="Y7" s="3" t="s">
        <v>71</v>
      </c>
      <c r="Z7" s="3" t="s">
        <v>71</v>
      </c>
      <c r="AA7" s="3" t="s">
        <v>71</v>
      </c>
      <c r="AB7" s="3" t="s">
        <v>71</v>
      </c>
      <c r="AC7" s="3" t="s">
        <v>71</v>
      </c>
      <c r="AD7" s="3" t="s">
        <v>71</v>
      </c>
      <c r="AE7" s="3" t="s">
        <v>71</v>
      </c>
      <c r="AF7" s="3" t="s">
        <v>71</v>
      </c>
      <c r="AG7" s="3" t="s">
        <v>77</v>
      </c>
      <c r="AH7" s="3" t="s">
        <v>71</v>
      </c>
      <c r="AI7" s="3" t="s">
        <v>71</v>
      </c>
      <c r="AJ7" s="3" t="s">
        <v>71</v>
      </c>
      <c r="AK7" s="3" t="s">
        <v>71</v>
      </c>
      <c r="AL7" s="3" t="s">
        <v>71</v>
      </c>
      <c r="AM7" s="3" t="s">
        <v>71</v>
      </c>
      <c r="AN7" s="3" t="s">
        <v>71</v>
      </c>
      <c r="AO7" s="3" t="s">
        <v>77</v>
      </c>
      <c r="AP7" s="3" t="s">
        <v>71</v>
      </c>
      <c r="AQ7" s="3" t="s">
        <v>71</v>
      </c>
      <c r="AR7" s="3" t="s">
        <v>71</v>
      </c>
      <c r="AS7" s="3" t="s">
        <v>71</v>
      </c>
      <c r="AT7" s="3" t="s">
        <v>71</v>
      </c>
      <c r="AU7" s="3" t="s">
        <v>71</v>
      </c>
      <c r="AV7" s="3" t="s">
        <v>71</v>
      </c>
      <c r="AW7" s="3" t="s">
        <v>71</v>
      </c>
      <c r="AX7" s="3" t="s">
        <v>77</v>
      </c>
      <c r="AY7" s="3" t="s">
        <v>71</v>
      </c>
      <c r="AZ7" s="3" t="s">
        <v>77</v>
      </c>
      <c r="BA7" s="3" t="s">
        <v>71</v>
      </c>
      <c r="BB7" s="3" t="s">
        <v>77</v>
      </c>
      <c r="BC7" s="3" t="s">
        <v>71</v>
      </c>
      <c r="BD7" s="3" t="s">
        <v>77</v>
      </c>
      <c r="BE7" s="3" t="s">
        <v>71</v>
      </c>
      <c r="BF7" s="3" t="s">
        <v>71</v>
      </c>
      <c r="BG7" s="3" t="s">
        <v>77</v>
      </c>
      <c r="BH7" s="3" t="s">
        <v>71</v>
      </c>
      <c r="BI7" s="3" t="s">
        <v>71</v>
      </c>
      <c r="BJ7" s="3" t="s">
        <v>77</v>
      </c>
      <c r="BK7" s="3" t="s">
        <v>71</v>
      </c>
      <c r="BL7" s="3" t="s">
        <v>71</v>
      </c>
      <c r="BM7" s="3" t="s">
        <v>71</v>
      </c>
      <c r="BN7" s="3" t="s">
        <v>71</v>
      </c>
      <c r="BO7" s="5" t="s">
        <v>71</v>
      </c>
      <c r="BP7" s="6">
        <f t="shared" si="0"/>
        <v>1794300</v>
      </c>
      <c r="BQ7" s="6">
        <v>2000000</v>
      </c>
      <c r="BR7" s="6">
        <f t="shared" si="1"/>
        <v>1794300</v>
      </c>
      <c r="BS7" s="6">
        <f t="shared" si="2"/>
        <v>0</v>
      </c>
    </row>
    <row r="8" spans="1:71">
      <c r="A8" s="3">
        <v>5</v>
      </c>
      <c r="B8" s="1" t="s">
        <v>90</v>
      </c>
      <c r="C8" s="1" t="s">
        <v>91</v>
      </c>
      <c r="D8" s="1" t="s">
        <v>74</v>
      </c>
      <c r="E8" s="1" t="s">
        <v>92</v>
      </c>
      <c r="F8" s="1" t="s">
        <v>85</v>
      </c>
      <c r="G8" s="3" t="s">
        <v>71</v>
      </c>
      <c r="H8" s="3" t="s">
        <v>71</v>
      </c>
      <c r="I8" s="3" t="s">
        <v>71</v>
      </c>
      <c r="J8" s="3" t="s">
        <v>71</v>
      </c>
      <c r="K8" s="3" t="s">
        <v>71</v>
      </c>
      <c r="L8" s="3" t="s">
        <v>71</v>
      </c>
      <c r="M8" s="3" t="s">
        <v>77</v>
      </c>
      <c r="N8" s="3" t="s">
        <v>71</v>
      </c>
      <c r="O8" s="3" t="s">
        <v>71</v>
      </c>
      <c r="P8" s="3" t="s">
        <v>71</v>
      </c>
      <c r="Q8" s="3" t="s">
        <v>71</v>
      </c>
      <c r="R8" s="3" t="s">
        <v>77</v>
      </c>
      <c r="S8" s="3" t="s">
        <v>71</v>
      </c>
      <c r="T8" s="3" t="s">
        <v>71</v>
      </c>
      <c r="U8" s="3" t="s">
        <v>77</v>
      </c>
      <c r="V8" s="3" t="s">
        <v>71</v>
      </c>
      <c r="W8" s="3" t="s">
        <v>71</v>
      </c>
      <c r="X8" s="3" t="s">
        <v>71</v>
      </c>
      <c r="Y8" s="3" t="s">
        <v>71</v>
      </c>
      <c r="Z8" s="3" t="s">
        <v>71</v>
      </c>
      <c r="AA8" s="3" t="s">
        <v>71</v>
      </c>
      <c r="AB8" s="3" t="s">
        <v>71</v>
      </c>
      <c r="AC8" s="3" t="s">
        <v>71</v>
      </c>
      <c r="AD8" s="3" t="s">
        <v>77</v>
      </c>
      <c r="AE8" s="3" t="s">
        <v>71</v>
      </c>
      <c r="AF8" s="3" t="s">
        <v>71</v>
      </c>
      <c r="AG8" s="3" t="s">
        <v>77</v>
      </c>
      <c r="AH8" s="3" t="s">
        <v>71</v>
      </c>
      <c r="AI8" s="3" t="s">
        <v>71</v>
      </c>
      <c r="AJ8" s="3" t="s">
        <v>71</v>
      </c>
      <c r="AK8" s="3" t="s">
        <v>77</v>
      </c>
      <c r="AL8" s="3" t="s">
        <v>77</v>
      </c>
      <c r="AM8" s="3" t="s">
        <v>77</v>
      </c>
      <c r="AN8" s="3" t="s">
        <v>77</v>
      </c>
      <c r="AO8" s="3" t="s">
        <v>77</v>
      </c>
      <c r="AP8" s="3" t="s">
        <v>71</v>
      </c>
      <c r="AQ8" s="3" t="s">
        <v>77</v>
      </c>
      <c r="AR8" s="3" t="s">
        <v>77</v>
      </c>
      <c r="AS8" s="3" t="s">
        <v>77</v>
      </c>
      <c r="AT8" s="3" t="s">
        <v>77</v>
      </c>
      <c r="AU8" s="3" t="s">
        <v>71</v>
      </c>
      <c r="AV8" s="3" t="s">
        <v>71</v>
      </c>
      <c r="AW8" s="3" t="s">
        <v>71</v>
      </c>
      <c r="AX8" s="3" t="s">
        <v>71</v>
      </c>
      <c r="AY8" s="3" t="s">
        <v>71</v>
      </c>
      <c r="AZ8" s="3" t="s">
        <v>77</v>
      </c>
      <c r="BA8" s="3" t="s">
        <v>71</v>
      </c>
      <c r="BB8" s="3" t="s">
        <v>71</v>
      </c>
      <c r="BC8" s="3" t="s">
        <v>71</v>
      </c>
      <c r="BD8" s="3" t="s">
        <v>71</v>
      </c>
      <c r="BE8" s="3" t="s">
        <v>71</v>
      </c>
      <c r="BF8" s="3" t="s">
        <v>77</v>
      </c>
      <c r="BG8" s="3" t="s">
        <v>77</v>
      </c>
      <c r="BH8" s="3" t="s">
        <v>77</v>
      </c>
      <c r="BI8" s="3" t="s">
        <v>71</v>
      </c>
      <c r="BJ8" s="3" t="s">
        <v>71</v>
      </c>
      <c r="BK8" s="3" t="s">
        <v>71</v>
      </c>
      <c r="BL8" s="3" t="s">
        <v>71</v>
      </c>
      <c r="BM8" s="3" t="s">
        <v>71</v>
      </c>
      <c r="BN8" s="3" t="s">
        <v>71</v>
      </c>
      <c r="BO8" s="5" t="s">
        <v>71</v>
      </c>
      <c r="BP8" s="6">
        <f t="shared" si="0"/>
        <v>1528100</v>
      </c>
      <c r="BQ8" s="6">
        <v>2000000</v>
      </c>
      <c r="BR8" s="6">
        <f t="shared" si="1"/>
        <v>1528100</v>
      </c>
      <c r="BS8" s="6">
        <f t="shared" si="2"/>
        <v>0</v>
      </c>
    </row>
    <row r="9" spans="1:71">
      <c r="A9" s="3">
        <v>6</v>
      </c>
      <c r="B9" s="1" t="s">
        <v>93</v>
      </c>
      <c r="C9" s="1" t="s">
        <v>94</v>
      </c>
      <c r="D9" s="1" t="s">
        <v>88</v>
      </c>
      <c r="E9" s="1" t="s">
        <v>95</v>
      </c>
      <c r="F9" s="1" t="s">
        <v>85</v>
      </c>
      <c r="G9" s="3" t="s">
        <v>71</v>
      </c>
      <c r="H9" s="3" t="s">
        <v>71</v>
      </c>
      <c r="I9" s="3" t="s">
        <v>71</v>
      </c>
      <c r="J9" s="3" t="s">
        <v>71</v>
      </c>
      <c r="K9" s="3" t="s">
        <v>71</v>
      </c>
      <c r="L9" s="3" t="s">
        <v>71</v>
      </c>
      <c r="M9" s="3" t="s">
        <v>77</v>
      </c>
      <c r="N9" s="3" t="s">
        <v>71</v>
      </c>
      <c r="O9" s="3" t="s">
        <v>71</v>
      </c>
      <c r="P9" s="3" t="s">
        <v>71</v>
      </c>
      <c r="Q9" s="3" t="s">
        <v>71</v>
      </c>
      <c r="R9" s="3" t="s">
        <v>77</v>
      </c>
      <c r="S9" s="3" t="s">
        <v>71</v>
      </c>
      <c r="T9" s="3" t="s">
        <v>71</v>
      </c>
      <c r="U9" s="3" t="s">
        <v>77</v>
      </c>
      <c r="V9" s="3" t="s">
        <v>77</v>
      </c>
      <c r="W9" s="3" t="s">
        <v>71</v>
      </c>
      <c r="X9" s="3" t="s">
        <v>71</v>
      </c>
      <c r="Y9" s="3" t="s">
        <v>71</v>
      </c>
      <c r="Z9" s="3" t="s">
        <v>71</v>
      </c>
      <c r="AA9" s="3" t="s">
        <v>77</v>
      </c>
      <c r="AB9" s="3" t="s">
        <v>71</v>
      </c>
      <c r="AC9" s="3" t="s">
        <v>71</v>
      </c>
      <c r="AD9" s="3" t="s">
        <v>71</v>
      </c>
      <c r="AE9" s="3" t="s">
        <v>77</v>
      </c>
      <c r="AF9" s="3" t="s">
        <v>77</v>
      </c>
      <c r="AG9" s="3" t="s">
        <v>71</v>
      </c>
      <c r="AH9" s="3" t="s">
        <v>77</v>
      </c>
      <c r="AI9" s="3" t="s">
        <v>77</v>
      </c>
      <c r="AJ9" s="3" t="s">
        <v>71</v>
      </c>
      <c r="AK9" s="3" t="s">
        <v>71</v>
      </c>
      <c r="AL9" s="3" t="s">
        <v>71</v>
      </c>
      <c r="AM9" s="3" t="s">
        <v>71</v>
      </c>
      <c r="AN9" s="3" t="s">
        <v>71</v>
      </c>
      <c r="AO9" s="3" t="s">
        <v>77</v>
      </c>
      <c r="AP9" s="3" t="s">
        <v>71</v>
      </c>
      <c r="AQ9" s="3" t="s">
        <v>71</v>
      </c>
      <c r="AR9" s="3" t="s">
        <v>71</v>
      </c>
      <c r="AS9" s="3" t="s">
        <v>71</v>
      </c>
      <c r="AT9" s="3" t="s">
        <v>77</v>
      </c>
      <c r="AU9" s="3" t="s">
        <v>77</v>
      </c>
      <c r="AV9" s="3" t="s">
        <v>71</v>
      </c>
      <c r="AW9" s="3" t="s">
        <v>71</v>
      </c>
      <c r="AX9" s="3" t="s">
        <v>77</v>
      </c>
      <c r="AY9" s="3" t="s">
        <v>77</v>
      </c>
      <c r="AZ9" s="3" t="s">
        <v>77</v>
      </c>
      <c r="BA9" s="3" t="s">
        <v>71</v>
      </c>
      <c r="BB9" s="3" t="s">
        <v>77</v>
      </c>
      <c r="BC9" s="3" t="s">
        <v>77</v>
      </c>
      <c r="BD9" s="3" t="s">
        <v>71</v>
      </c>
      <c r="BE9" s="3" t="s">
        <v>71</v>
      </c>
      <c r="BF9" s="3" t="s">
        <v>71</v>
      </c>
      <c r="BG9" s="3" t="s">
        <v>77</v>
      </c>
      <c r="BH9" s="3" t="s">
        <v>77</v>
      </c>
      <c r="BI9" s="3" t="s">
        <v>71</v>
      </c>
      <c r="BJ9" s="3" t="s">
        <v>77</v>
      </c>
      <c r="BK9" s="3" t="s">
        <v>71</v>
      </c>
      <c r="BL9" s="3" t="s">
        <v>77</v>
      </c>
      <c r="BM9" s="3" t="s">
        <v>71</v>
      </c>
      <c r="BN9" s="3" t="s">
        <v>71</v>
      </c>
      <c r="BO9" s="5" t="s">
        <v>77</v>
      </c>
      <c r="BP9" s="6">
        <f t="shared" si="0"/>
        <v>3406000</v>
      </c>
      <c r="BQ9" s="6">
        <v>2000000</v>
      </c>
      <c r="BR9" s="6">
        <f t="shared" si="1"/>
        <v>2000000</v>
      </c>
      <c r="BS9" s="6">
        <f t="shared" si="2"/>
        <v>1406000</v>
      </c>
    </row>
    <row r="10" spans="1:71">
      <c r="A10" s="3">
        <v>7</v>
      </c>
      <c r="B10" s="1" t="s">
        <v>96</v>
      </c>
      <c r="C10" s="1" t="s">
        <v>97</v>
      </c>
      <c r="D10" s="1" t="s">
        <v>74</v>
      </c>
      <c r="E10" s="1" t="s">
        <v>98</v>
      </c>
      <c r="F10" s="1" t="s">
        <v>85</v>
      </c>
      <c r="G10" s="3" t="s">
        <v>77</v>
      </c>
      <c r="H10" s="3" t="s">
        <v>77</v>
      </c>
      <c r="I10" s="3" t="s">
        <v>77</v>
      </c>
      <c r="J10" s="3" t="s">
        <v>77</v>
      </c>
      <c r="K10" s="3" t="s">
        <v>77</v>
      </c>
      <c r="L10" s="3" t="s">
        <v>77</v>
      </c>
      <c r="M10" s="3" t="s">
        <v>77</v>
      </c>
      <c r="N10" s="3" t="s">
        <v>71</v>
      </c>
      <c r="O10" s="3" t="s">
        <v>71</v>
      </c>
      <c r="P10" s="3" t="s">
        <v>71</v>
      </c>
      <c r="Q10" s="3" t="s">
        <v>71</v>
      </c>
      <c r="R10" s="3" t="s">
        <v>77</v>
      </c>
      <c r="S10" s="3" t="s">
        <v>71</v>
      </c>
      <c r="T10" s="3" t="s">
        <v>71</v>
      </c>
      <c r="U10" s="3" t="s">
        <v>77</v>
      </c>
      <c r="V10" s="3" t="s">
        <v>77</v>
      </c>
      <c r="W10" s="3" t="s">
        <v>77</v>
      </c>
      <c r="X10" s="3" t="s">
        <v>71</v>
      </c>
      <c r="Y10" s="3" t="s">
        <v>71</v>
      </c>
      <c r="Z10" s="3" t="s">
        <v>71</v>
      </c>
      <c r="AA10" s="3" t="s">
        <v>71</v>
      </c>
      <c r="AB10" s="3" t="s">
        <v>71</v>
      </c>
      <c r="AC10" s="3" t="s">
        <v>71</v>
      </c>
      <c r="AD10" s="3" t="s">
        <v>71</v>
      </c>
      <c r="AE10" s="3" t="s">
        <v>77</v>
      </c>
      <c r="AF10" s="3" t="s">
        <v>71</v>
      </c>
      <c r="AG10" s="3" t="s">
        <v>71</v>
      </c>
      <c r="AH10" s="3" t="s">
        <v>71</v>
      </c>
      <c r="AI10" s="3" t="s">
        <v>71</v>
      </c>
      <c r="AJ10" s="3" t="s">
        <v>77</v>
      </c>
      <c r="AK10" s="3" t="s">
        <v>71</v>
      </c>
      <c r="AL10" s="3" t="s">
        <v>71</v>
      </c>
      <c r="AM10" s="3" t="s">
        <v>77</v>
      </c>
      <c r="AN10" s="3" t="s">
        <v>77</v>
      </c>
      <c r="AO10" s="3" t="s">
        <v>77</v>
      </c>
      <c r="AP10" s="3" t="s">
        <v>71</v>
      </c>
      <c r="AQ10" s="3" t="s">
        <v>71</v>
      </c>
      <c r="AR10" s="3" t="s">
        <v>71</v>
      </c>
      <c r="AS10" s="3" t="s">
        <v>71</v>
      </c>
      <c r="AT10" s="3" t="s">
        <v>77</v>
      </c>
      <c r="AU10" s="3" t="s">
        <v>71</v>
      </c>
      <c r="AV10" s="3" t="s">
        <v>77</v>
      </c>
      <c r="AW10" s="3" t="s">
        <v>77</v>
      </c>
      <c r="AX10" s="3" t="s">
        <v>77</v>
      </c>
      <c r="AY10" s="3" t="s">
        <v>71</v>
      </c>
      <c r="AZ10" s="3" t="s">
        <v>77</v>
      </c>
      <c r="BA10" s="3" t="s">
        <v>71</v>
      </c>
      <c r="BB10" s="3" t="s">
        <v>71</v>
      </c>
      <c r="BC10" s="3" t="s">
        <v>71</v>
      </c>
      <c r="BD10" s="3" t="s">
        <v>71</v>
      </c>
      <c r="BE10" s="3" t="s">
        <v>71</v>
      </c>
      <c r="BF10" s="3" t="s">
        <v>71</v>
      </c>
      <c r="BG10" s="3" t="s">
        <v>77</v>
      </c>
      <c r="BH10" s="3" t="s">
        <v>77</v>
      </c>
      <c r="BI10" s="3" t="s">
        <v>71</v>
      </c>
      <c r="BJ10" s="3" t="s">
        <v>77</v>
      </c>
      <c r="BK10" s="3" t="s">
        <v>77</v>
      </c>
      <c r="BL10" s="3" t="s">
        <v>77</v>
      </c>
      <c r="BM10" s="3" t="s">
        <v>71</v>
      </c>
      <c r="BN10" s="3" t="s">
        <v>77</v>
      </c>
      <c r="BO10" s="5" t="s">
        <v>71</v>
      </c>
      <c r="BP10" s="6">
        <f t="shared" si="0"/>
        <v>1775400</v>
      </c>
      <c r="BQ10" s="6">
        <v>2000000</v>
      </c>
      <c r="BR10" s="6">
        <f t="shared" si="1"/>
        <v>1775400</v>
      </c>
      <c r="BS10" s="6">
        <f t="shared" si="2"/>
        <v>0</v>
      </c>
    </row>
    <row r="11" spans="1:71">
      <c r="A11" s="3">
        <v>8</v>
      </c>
      <c r="B11" s="1" t="s">
        <v>99</v>
      </c>
      <c r="C11" s="1" t="s">
        <v>100</v>
      </c>
      <c r="D11" s="1" t="s">
        <v>88</v>
      </c>
      <c r="E11" s="1" t="s">
        <v>101</v>
      </c>
      <c r="F11" s="1" t="s">
        <v>81</v>
      </c>
      <c r="G11" s="3" t="s">
        <v>71</v>
      </c>
      <c r="H11" s="3" t="s">
        <v>71</v>
      </c>
      <c r="I11" s="3" t="s">
        <v>71</v>
      </c>
      <c r="J11" s="3" t="s">
        <v>71</v>
      </c>
      <c r="K11" s="3" t="s">
        <v>71</v>
      </c>
      <c r="L11" s="3" t="s">
        <v>71</v>
      </c>
      <c r="M11" s="3" t="s">
        <v>77</v>
      </c>
      <c r="N11" s="3" t="s">
        <v>71</v>
      </c>
      <c r="O11" s="3" t="s">
        <v>71</v>
      </c>
      <c r="P11" s="3" t="s">
        <v>71</v>
      </c>
      <c r="Q11" s="3" t="s">
        <v>71</v>
      </c>
      <c r="R11" s="3" t="s">
        <v>77</v>
      </c>
      <c r="S11" s="3" t="s">
        <v>71</v>
      </c>
      <c r="T11" s="3" t="s">
        <v>71</v>
      </c>
      <c r="U11" s="3" t="s">
        <v>77</v>
      </c>
      <c r="V11" s="3" t="s">
        <v>77</v>
      </c>
      <c r="W11" s="3" t="s">
        <v>71</v>
      </c>
      <c r="X11" s="3" t="s">
        <v>71</v>
      </c>
      <c r="Y11" s="3" t="s">
        <v>71</v>
      </c>
      <c r="Z11" s="3" t="s">
        <v>71</v>
      </c>
      <c r="AA11" s="3" t="s">
        <v>71</v>
      </c>
      <c r="AB11" s="3" t="s">
        <v>71</v>
      </c>
      <c r="AC11" s="3" t="s">
        <v>71</v>
      </c>
      <c r="AD11" s="3" t="s">
        <v>71</v>
      </c>
      <c r="AE11" s="3" t="s">
        <v>77</v>
      </c>
      <c r="AF11" s="3" t="s">
        <v>71</v>
      </c>
      <c r="AG11" s="3" t="s">
        <v>71</v>
      </c>
      <c r="AH11" s="3" t="s">
        <v>71</v>
      </c>
      <c r="AI11" s="3" t="s">
        <v>71</v>
      </c>
      <c r="AJ11" s="3" t="s">
        <v>71</v>
      </c>
      <c r="AK11" s="3" t="s">
        <v>71</v>
      </c>
      <c r="AL11" s="3" t="s">
        <v>77</v>
      </c>
      <c r="AM11" s="3" t="s">
        <v>77</v>
      </c>
      <c r="AN11" s="3" t="s">
        <v>71</v>
      </c>
      <c r="AO11" s="3" t="s">
        <v>77</v>
      </c>
      <c r="AP11" s="3" t="s">
        <v>71</v>
      </c>
      <c r="AQ11" s="3" t="s">
        <v>71</v>
      </c>
      <c r="AR11" s="3" t="s">
        <v>71</v>
      </c>
      <c r="AS11" s="3" t="s">
        <v>71</v>
      </c>
      <c r="AT11" s="3" t="s">
        <v>77</v>
      </c>
      <c r="AU11" s="3" t="s">
        <v>71</v>
      </c>
      <c r="AV11" s="3" t="s">
        <v>71</v>
      </c>
      <c r="AW11" s="3" t="s">
        <v>71</v>
      </c>
      <c r="AX11" s="3" t="s">
        <v>77</v>
      </c>
      <c r="AY11" s="3" t="s">
        <v>71</v>
      </c>
      <c r="AZ11" s="3" t="s">
        <v>77</v>
      </c>
      <c r="BA11" s="3" t="s">
        <v>71</v>
      </c>
      <c r="BB11" s="3" t="s">
        <v>77</v>
      </c>
      <c r="BC11" s="3" t="s">
        <v>77</v>
      </c>
      <c r="BD11" s="3" t="s">
        <v>71</v>
      </c>
      <c r="BE11" s="3" t="s">
        <v>71</v>
      </c>
      <c r="BF11" s="3" t="s">
        <v>71</v>
      </c>
      <c r="BG11" s="3" t="s">
        <v>77</v>
      </c>
      <c r="BH11" s="3" t="s">
        <v>77</v>
      </c>
      <c r="BI11" s="3" t="s">
        <v>71</v>
      </c>
      <c r="BJ11" s="3" t="s">
        <v>77</v>
      </c>
      <c r="BK11" s="3" t="s">
        <v>71</v>
      </c>
      <c r="BL11" s="3" t="s">
        <v>71</v>
      </c>
      <c r="BM11" s="3" t="s">
        <v>71</v>
      </c>
      <c r="BN11" s="3" t="s">
        <v>71</v>
      </c>
      <c r="BO11" s="5" t="s">
        <v>71</v>
      </c>
      <c r="BP11" s="6">
        <f t="shared" si="0"/>
        <v>2092900</v>
      </c>
      <c r="BQ11" s="6">
        <v>2000000</v>
      </c>
      <c r="BR11" s="6">
        <f t="shared" si="1"/>
        <v>2000000</v>
      </c>
      <c r="BS11" s="6">
        <f t="shared" si="2"/>
        <v>92900</v>
      </c>
    </row>
    <row r="12" spans="1:71">
      <c r="A12" s="3">
        <v>9</v>
      </c>
      <c r="B12" s="1" t="s">
        <v>102</v>
      </c>
      <c r="C12" s="1" t="s">
        <v>103</v>
      </c>
      <c r="D12" s="1" t="s">
        <v>88</v>
      </c>
      <c r="E12" s="1" t="s">
        <v>104</v>
      </c>
      <c r="F12" s="1" t="s">
        <v>85</v>
      </c>
      <c r="G12" s="3" t="s">
        <v>77</v>
      </c>
      <c r="H12" s="3" t="s">
        <v>77</v>
      </c>
      <c r="I12" s="3" t="s">
        <v>77</v>
      </c>
      <c r="J12" s="3" t="s">
        <v>77</v>
      </c>
      <c r="K12" s="3" t="s">
        <v>77</v>
      </c>
      <c r="L12" s="3" t="s">
        <v>77</v>
      </c>
      <c r="M12" s="3" t="s">
        <v>77</v>
      </c>
      <c r="N12" s="3" t="s">
        <v>71</v>
      </c>
      <c r="O12" s="3" t="s">
        <v>71</v>
      </c>
      <c r="P12" s="3" t="s">
        <v>71</v>
      </c>
      <c r="Q12" s="3" t="s">
        <v>77</v>
      </c>
      <c r="R12" s="3" t="s">
        <v>77</v>
      </c>
      <c r="S12" s="3" t="s">
        <v>71</v>
      </c>
      <c r="T12" s="3" t="s">
        <v>71</v>
      </c>
      <c r="U12" s="3" t="s">
        <v>77</v>
      </c>
      <c r="V12" s="3" t="s">
        <v>77</v>
      </c>
      <c r="W12" s="3" t="s">
        <v>71</v>
      </c>
      <c r="X12" s="3" t="s">
        <v>71</v>
      </c>
      <c r="Y12" s="3" t="s">
        <v>71</v>
      </c>
      <c r="Z12" s="3" t="s">
        <v>71</v>
      </c>
      <c r="AA12" s="3" t="s">
        <v>71</v>
      </c>
      <c r="AB12" s="3" t="s">
        <v>71</v>
      </c>
      <c r="AC12" s="3" t="s">
        <v>71</v>
      </c>
      <c r="AD12" s="3" t="s">
        <v>71</v>
      </c>
      <c r="AE12" s="3" t="s">
        <v>71</v>
      </c>
      <c r="AF12" s="3" t="s">
        <v>71</v>
      </c>
      <c r="AG12" s="3" t="s">
        <v>71</v>
      </c>
      <c r="AH12" s="3" t="s">
        <v>71</v>
      </c>
      <c r="AI12" s="3" t="s">
        <v>71</v>
      </c>
      <c r="AJ12" s="3" t="s">
        <v>71</v>
      </c>
      <c r="AK12" s="3" t="s">
        <v>71</v>
      </c>
      <c r="AL12" s="3" t="s">
        <v>77</v>
      </c>
      <c r="AM12" s="3" t="s">
        <v>71</v>
      </c>
      <c r="AN12" s="3" t="s">
        <v>77</v>
      </c>
      <c r="AO12" s="3" t="s">
        <v>77</v>
      </c>
      <c r="AP12" s="3" t="s">
        <v>71</v>
      </c>
      <c r="AQ12" s="3" t="s">
        <v>71</v>
      </c>
      <c r="AR12" s="3" t="s">
        <v>71</v>
      </c>
      <c r="AS12" s="3" t="s">
        <v>71</v>
      </c>
      <c r="AT12" s="3" t="s">
        <v>77</v>
      </c>
      <c r="AU12" s="3" t="s">
        <v>71</v>
      </c>
      <c r="AV12" s="3" t="s">
        <v>77</v>
      </c>
      <c r="AW12" s="3" t="s">
        <v>71</v>
      </c>
      <c r="AX12" s="3" t="s">
        <v>77</v>
      </c>
      <c r="AY12" s="3" t="s">
        <v>71</v>
      </c>
      <c r="AZ12" s="3" t="s">
        <v>77</v>
      </c>
      <c r="BA12" s="3" t="s">
        <v>71</v>
      </c>
      <c r="BB12" s="3" t="s">
        <v>71</v>
      </c>
      <c r="BC12" s="3" t="s">
        <v>77</v>
      </c>
      <c r="BD12" s="3" t="s">
        <v>71</v>
      </c>
      <c r="BE12" s="3" t="s">
        <v>71</v>
      </c>
      <c r="BF12" s="3" t="s">
        <v>71</v>
      </c>
      <c r="BG12" s="3" t="s">
        <v>77</v>
      </c>
      <c r="BH12" s="3" t="s">
        <v>77</v>
      </c>
      <c r="BI12" s="3" t="s">
        <v>71</v>
      </c>
      <c r="BJ12" s="3" t="s">
        <v>77</v>
      </c>
      <c r="BK12" s="3" t="s">
        <v>71</v>
      </c>
      <c r="BL12" s="3" t="s">
        <v>71</v>
      </c>
      <c r="BM12" s="3" t="s">
        <v>71</v>
      </c>
      <c r="BN12" s="3" t="s">
        <v>77</v>
      </c>
      <c r="BO12" s="5" t="s">
        <v>71</v>
      </c>
      <c r="BP12" s="6">
        <f t="shared" si="0"/>
        <v>1787800</v>
      </c>
      <c r="BQ12" s="6">
        <v>2000000</v>
      </c>
      <c r="BR12" s="6">
        <f t="shared" si="1"/>
        <v>1787800</v>
      </c>
      <c r="BS12" s="6">
        <f t="shared" si="2"/>
        <v>0</v>
      </c>
    </row>
    <row r="13" spans="1:71">
      <c r="A13" s="3">
        <v>10</v>
      </c>
      <c r="B13" s="1" t="s">
        <v>105</v>
      </c>
      <c r="C13" s="1" t="s">
        <v>106</v>
      </c>
      <c r="D13" s="1" t="s">
        <v>74</v>
      </c>
      <c r="E13" s="1" t="s">
        <v>107</v>
      </c>
      <c r="F13" s="1" t="s">
        <v>108</v>
      </c>
      <c r="G13" s="3" t="s">
        <v>77</v>
      </c>
      <c r="H13" s="3" t="s">
        <v>77</v>
      </c>
      <c r="I13" s="3" t="s">
        <v>77</v>
      </c>
      <c r="J13" s="3" t="s">
        <v>77</v>
      </c>
      <c r="K13" s="3" t="s">
        <v>77</v>
      </c>
      <c r="L13" s="3" t="s">
        <v>77</v>
      </c>
      <c r="M13" s="3" t="s">
        <v>77</v>
      </c>
      <c r="N13" s="3" t="s">
        <v>71</v>
      </c>
      <c r="O13" s="3" t="s">
        <v>77</v>
      </c>
      <c r="P13" s="3" t="s">
        <v>71</v>
      </c>
      <c r="Q13" s="3" t="s">
        <v>71</v>
      </c>
      <c r="R13" s="3" t="s">
        <v>77</v>
      </c>
      <c r="S13" s="3" t="s">
        <v>77</v>
      </c>
      <c r="T13" s="3" t="s">
        <v>71</v>
      </c>
      <c r="U13" s="3" t="s">
        <v>77</v>
      </c>
      <c r="V13" s="3" t="s">
        <v>71</v>
      </c>
      <c r="W13" s="3" t="s">
        <v>71</v>
      </c>
      <c r="X13" s="3" t="s">
        <v>77</v>
      </c>
      <c r="Y13" s="3" t="s">
        <v>71</v>
      </c>
      <c r="Z13" s="3" t="s">
        <v>77</v>
      </c>
      <c r="AA13" s="3" t="s">
        <v>71</v>
      </c>
      <c r="AB13" s="3" t="s">
        <v>71</v>
      </c>
      <c r="AC13" s="3" t="s">
        <v>71</v>
      </c>
      <c r="AD13" s="3" t="s">
        <v>71</v>
      </c>
      <c r="AE13" s="3" t="s">
        <v>77</v>
      </c>
      <c r="AF13" s="3" t="s">
        <v>71</v>
      </c>
      <c r="AG13" s="3" t="s">
        <v>77</v>
      </c>
      <c r="AH13" s="3" t="s">
        <v>71</v>
      </c>
      <c r="AI13" s="3" t="s">
        <v>71</v>
      </c>
      <c r="AJ13" s="3" t="s">
        <v>77</v>
      </c>
      <c r="AK13" s="3" t="s">
        <v>71</v>
      </c>
      <c r="AL13" s="3" t="s">
        <v>71</v>
      </c>
      <c r="AM13" s="3" t="s">
        <v>77</v>
      </c>
      <c r="AN13" s="3" t="s">
        <v>77</v>
      </c>
      <c r="AO13" s="3" t="s">
        <v>77</v>
      </c>
      <c r="AP13" s="3" t="s">
        <v>71</v>
      </c>
      <c r="AQ13" s="3" t="s">
        <v>71</v>
      </c>
      <c r="AR13" s="3" t="s">
        <v>71</v>
      </c>
      <c r="AS13" s="3" t="s">
        <v>71</v>
      </c>
      <c r="AT13" s="3" t="s">
        <v>77</v>
      </c>
      <c r="AU13" s="3" t="s">
        <v>71</v>
      </c>
      <c r="AV13" s="3" t="s">
        <v>77</v>
      </c>
      <c r="AW13" s="3" t="s">
        <v>77</v>
      </c>
      <c r="AX13" s="3" t="s">
        <v>77</v>
      </c>
      <c r="AY13" s="3" t="s">
        <v>71</v>
      </c>
      <c r="AZ13" s="3" t="s">
        <v>77</v>
      </c>
      <c r="BA13" s="3" t="s">
        <v>71</v>
      </c>
      <c r="BB13" s="3" t="s">
        <v>71</v>
      </c>
      <c r="BC13" s="3" t="s">
        <v>71</v>
      </c>
      <c r="BD13" s="3" t="s">
        <v>71</v>
      </c>
      <c r="BE13" s="3" t="s">
        <v>71</v>
      </c>
      <c r="BF13" s="3" t="s">
        <v>77</v>
      </c>
      <c r="BG13" s="3" t="s">
        <v>77</v>
      </c>
      <c r="BH13" s="3" t="s">
        <v>77</v>
      </c>
      <c r="BI13" s="3" t="s">
        <v>71</v>
      </c>
      <c r="BJ13" s="3" t="s">
        <v>77</v>
      </c>
      <c r="BK13" s="3" t="s">
        <v>77</v>
      </c>
      <c r="BL13" s="3" t="s">
        <v>77</v>
      </c>
      <c r="BM13" s="3" t="s">
        <v>71</v>
      </c>
      <c r="BN13" s="3" t="s">
        <v>77</v>
      </c>
      <c r="BO13" s="5" t="s">
        <v>71</v>
      </c>
      <c r="BP13" s="6">
        <f t="shared" si="0"/>
        <v>2524600</v>
      </c>
      <c r="BQ13" s="6">
        <v>2000000</v>
      </c>
      <c r="BR13" s="6">
        <f t="shared" si="1"/>
        <v>2000000</v>
      </c>
      <c r="BS13" s="6">
        <f t="shared" si="2"/>
        <v>524600</v>
      </c>
    </row>
    <row r="14" spans="1:71" ht="30">
      <c r="A14" s="3">
        <v>11</v>
      </c>
      <c r="B14" s="1" t="s">
        <v>109</v>
      </c>
      <c r="C14" s="1" t="s">
        <v>110</v>
      </c>
      <c r="D14" s="1" t="s">
        <v>74</v>
      </c>
      <c r="E14" s="1" t="s">
        <v>111</v>
      </c>
      <c r="F14" s="1" t="s">
        <v>85</v>
      </c>
      <c r="G14" s="3" t="s">
        <v>71</v>
      </c>
      <c r="H14" s="3" t="s">
        <v>77</v>
      </c>
      <c r="I14" s="3" t="s">
        <v>77</v>
      </c>
      <c r="J14" s="3" t="s">
        <v>77</v>
      </c>
      <c r="K14" s="3" t="s">
        <v>71</v>
      </c>
      <c r="L14" s="3" t="s">
        <v>77</v>
      </c>
      <c r="M14" s="3" t="s">
        <v>77</v>
      </c>
      <c r="N14" s="3" t="s">
        <v>71</v>
      </c>
      <c r="O14" s="3" t="s">
        <v>71</v>
      </c>
      <c r="P14" s="3" t="s">
        <v>71</v>
      </c>
      <c r="Q14" s="3" t="s">
        <v>71</v>
      </c>
      <c r="R14" s="3" t="s">
        <v>77</v>
      </c>
      <c r="S14" s="3" t="s">
        <v>77</v>
      </c>
      <c r="T14" s="3" t="s">
        <v>71</v>
      </c>
      <c r="U14" s="3" t="s">
        <v>71</v>
      </c>
      <c r="V14" s="3" t="s">
        <v>71</v>
      </c>
      <c r="W14" s="3" t="s">
        <v>71</v>
      </c>
      <c r="X14" s="3" t="s">
        <v>77</v>
      </c>
      <c r="Y14" s="3" t="s">
        <v>71</v>
      </c>
      <c r="Z14" s="3" t="s">
        <v>71</v>
      </c>
      <c r="AA14" s="3" t="s">
        <v>71</v>
      </c>
      <c r="AB14" s="3" t="s">
        <v>77</v>
      </c>
      <c r="AC14" s="3" t="s">
        <v>77</v>
      </c>
      <c r="AD14" s="3" t="s">
        <v>71</v>
      </c>
      <c r="AE14" s="3" t="s">
        <v>71</v>
      </c>
      <c r="AF14" s="3" t="s">
        <v>71</v>
      </c>
      <c r="AG14" s="3" t="s">
        <v>77</v>
      </c>
      <c r="AH14" s="3" t="s">
        <v>71</v>
      </c>
      <c r="AI14" s="3" t="s">
        <v>71</v>
      </c>
      <c r="AJ14" s="3" t="s">
        <v>77</v>
      </c>
      <c r="AK14" s="3" t="s">
        <v>71</v>
      </c>
      <c r="AL14" s="3" t="s">
        <v>77</v>
      </c>
      <c r="AM14" s="3" t="s">
        <v>71</v>
      </c>
      <c r="AN14" s="3" t="s">
        <v>77</v>
      </c>
      <c r="AO14" s="3" t="s">
        <v>77</v>
      </c>
      <c r="AP14" s="3" t="s">
        <v>71</v>
      </c>
      <c r="AQ14" s="3" t="s">
        <v>71</v>
      </c>
      <c r="AR14" s="3" t="s">
        <v>71</v>
      </c>
      <c r="AS14" s="3" t="s">
        <v>71</v>
      </c>
      <c r="AT14" s="3" t="s">
        <v>71</v>
      </c>
      <c r="AU14" s="3" t="s">
        <v>71</v>
      </c>
      <c r="AV14" s="3" t="s">
        <v>77</v>
      </c>
      <c r="AW14" s="3" t="s">
        <v>77</v>
      </c>
      <c r="AX14" s="3" t="s">
        <v>77</v>
      </c>
      <c r="AY14" s="3" t="s">
        <v>71</v>
      </c>
      <c r="AZ14" s="3" t="s">
        <v>77</v>
      </c>
      <c r="BA14" s="3" t="s">
        <v>77</v>
      </c>
      <c r="BB14" s="3" t="s">
        <v>71</v>
      </c>
      <c r="BC14" s="3" t="s">
        <v>71</v>
      </c>
      <c r="BD14" s="3" t="s">
        <v>71</v>
      </c>
      <c r="BE14" s="3" t="s">
        <v>71</v>
      </c>
      <c r="BF14" s="3" t="s">
        <v>71</v>
      </c>
      <c r="BG14" s="3" t="s">
        <v>77</v>
      </c>
      <c r="BH14" s="3" t="s">
        <v>71</v>
      </c>
      <c r="BI14" s="3" t="s">
        <v>71</v>
      </c>
      <c r="BJ14" s="3" t="s">
        <v>77</v>
      </c>
      <c r="BK14" s="3" t="s">
        <v>71</v>
      </c>
      <c r="BL14" s="3" t="s">
        <v>77</v>
      </c>
      <c r="BM14" s="3" t="s">
        <v>77</v>
      </c>
      <c r="BN14" s="3" t="s">
        <v>77</v>
      </c>
      <c r="BO14" s="5" t="s">
        <v>71</v>
      </c>
      <c r="BP14" s="6">
        <f t="shared" si="0"/>
        <v>2282300</v>
      </c>
      <c r="BQ14" s="6">
        <v>2000000</v>
      </c>
      <c r="BR14" s="6">
        <f t="shared" si="1"/>
        <v>2000000</v>
      </c>
      <c r="BS14" s="6">
        <f t="shared" si="2"/>
        <v>282300</v>
      </c>
    </row>
    <row r="15" spans="1:71">
      <c r="A15" s="3">
        <v>12</v>
      </c>
      <c r="B15" s="1" t="s">
        <v>112</v>
      </c>
      <c r="C15" s="1" t="s">
        <v>113</v>
      </c>
      <c r="D15" s="1" t="s">
        <v>74</v>
      </c>
      <c r="E15" s="1" t="s">
        <v>114</v>
      </c>
      <c r="F15" s="3" t="s">
        <v>71</v>
      </c>
      <c r="G15" s="3" t="s">
        <v>71</v>
      </c>
      <c r="H15" s="3" t="s">
        <v>71</v>
      </c>
      <c r="I15" s="3" t="s">
        <v>71</v>
      </c>
      <c r="J15" s="3" t="s">
        <v>71</v>
      </c>
      <c r="K15" s="3" t="s">
        <v>71</v>
      </c>
      <c r="L15" s="3" t="s">
        <v>71</v>
      </c>
      <c r="M15" s="3" t="s">
        <v>77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77</v>
      </c>
      <c r="S15" s="3" t="s">
        <v>71</v>
      </c>
      <c r="T15" s="3" t="s">
        <v>77</v>
      </c>
      <c r="U15" s="3" t="s">
        <v>77</v>
      </c>
      <c r="V15" s="3" t="s">
        <v>77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 s="3" t="s">
        <v>71</v>
      </c>
      <c r="AD15" s="3" t="s">
        <v>71</v>
      </c>
      <c r="AE15" s="3" t="s">
        <v>71</v>
      </c>
      <c r="AF15" s="3" t="s">
        <v>71</v>
      </c>
      <c r="AG15" s="3" t="s">
        <v>77</v>
      </c>
      <c r="AH15" s="3" t="s">
        <v>71</v>
      </c>
      <c r="AI15" s="3" t="s">
        <v>71</v>
      </c>
      <c r="AJ15" s="3" t="s">
        <v>71</v>
      </c>
      <c r="AK15" s="3" t="s">
        <v>71</v>
      </c>
      <c r="AL15" s="3" t="s">
        <v>71</v>
      </c>
      <c r="AM15" s="3" t="s">
        <v>71</v>
      </c>
      <c r="AN15" s="3" t="s">
        <v>71</v>
      </c>
      <c r="AO15" s="3" t="s">
        <v>77</v>
      </c>
      <c r="AP15" s="3" t="s">
        <v>71</v>
      </c>
      <c r="AQ15" s="3" t="s">
        <v>71</v>
      </c>
      <c r="AR15" s="3" t="s">
        <v>71</v>
      </c>
      <c r="AS15" s="3" t="s">
        <v>71</v>
      </c>
      <c r="AT15" s="3" t="s">
        <v>71</v>
      </c>
      <c r="AU15" s="3" t="s">
        <v>71</v>
      </c>
      <c r="AV15" s="3" t="s">
        <v>71</v>
      </c>
      <c r="AW15" s="3" t="s">
        <v>77</v>
      </c>
      <c r="AX15" s="3" t="s">
        <v>71</v>
      </c>
      <c r="AY15" s="3" t="s">
        <v>71</v>
      </c>
      <c r="AZ15" s="3" t="s">
        <v>77</v>
      </c>
      <c r="BA15" s="3" t="s">
        <v>77</v>
      </c>
      <c r="BB15" s="3" t="s">
        <v>77</v>
      </c>
      <c r="BC15" s="3" t="s">
        <v>71</v>
      </c>
      <c r="BD15" s="3" t="s">
        <v>71</v>
      </c>
      <c r="BE15" s="3" t="s">
        <v>71</v>
      </c>
      <c r="BF15" s="3" t="s">
        <v>71</v>
      </c>
      <c r="BG15" s="3" t="s">
        <v>77</v>
      </c>
      <c r="BH15" s="3" t="s">
        <v>71</v>
      </c>
      <c r="BI15" s="3" t="s">
        <v>71</v>
      </c>
      <c r="BJ15" s="3" t="s">
        <v>71</v>
      </c>
      <c r="BK15" s="3" t="s">
        <v>71</v>
      </c>
      <c r="BL15" s="3" t="s">
        <v>71</v>
      </c>
      <c r="BM15" s="3" t="s">
        <v>71</v>
      </c>
      <c r="BN15" s="3" t="s">
        <v>71</v>
      </c>
      <c r="BO15" s="5" t="s">
        <v>71</v>
      </c>
      <c r="BP15" s="6">
        <f t="shared" si="0"/>
        <v>1635700</v>
      </c>
      <c r="BQ15" s="6">
        <v>2000000</v>
      </c>
      <c r="BR15" s="6">
        <f t="shared" si="1"/>
        <v>1635700</v>
      </c>
      <c r="BS15" s="6">
        <f t="shared" si="2"/>
        <v>0</v>
      </c>
    </row>
    <row r="16" spans="1:71">
      <c r="A16" s="3">
        <v>13</v>
      </c>
      <c r="B16" s="1" t="s">
        <v>115</v>
      </c>
      <c r="C16" s="1" t="s">
        <v>116</v>
      </c>
      <c r="D16" s="1" t="s">
        <v>88</v>
      </c>
      <c r="E16" s="1" t="s">
        <v>117</v>
      </c>
      <c r="F16" s="1" t="s">
        <v>118</v>
      </c>
      <c r="G16" s="3" t="s">
        <v>71</v>
      </c>
      <c r="H16" s="3" t="s">
        <v>71</v>
      </c>
      <c r="I16" s="3" t="s">
        <v>71</v>
      </c>
      <c r="J16" s="3" t="s">
        <v>71</v>
      </c>
      <c r="K16" s="3" t="s">
        <v>71</v>
      </c>
      <c r="L16" s="3" t="s">
        <v>71</v>
      </c>
      <c r="M16" s="3" t="s">
        <v>77</v>
      </c>
      <c r="N16" s="3" t="s">
        <v>71</v>
      </c>
      <c r="O16" s="3" t="s">
        <v>71</v>
      </c>
      <c r="P16" s="3" t="s">
        <v>71</v>
      </c>
      <c r="Q16" s="3" t="s">
        <v>71</v>
      </c>
      <c r="R16" s="3" t="s">
        <v>77</v>
      </c>
      <c r="S16" s="3" t="s">
        <v>71</v>
      </c>
      <c r="T16" s="3" t="s">
        <v>71</v>
      </c>
      <c r="U16" s="3" t="s">
        <v>77</v>
      </c>
      <c r="V16" s="3" t="s">
        <v>77</v>
      </c>
      <c r="W16" s="3" t="s">
        <v>71</v>
      </c>
      <c r="X16" s="3" t="s">
        <v>71</v>
      </c>
      <c r="Y16" s="3" t="s">
        <v>71</v>
      </c>
      <c r="Z16" s="3" t="s">
        <v>71</v>
      </c>
      <c r="AA16" s="3" t="s">
        <v>77</v>
      </c>
      <c r="AB16" s="3" t="s">
        <v>71</v>
      </c>
      <c r="AC16" s="3" t="s">
        <v>71</v>
      </c>
      <c r="AD16" s="3" t="s">
        <v>71</v>
      </c>
      <c r="AE16" s="3" t="s">
        <v>77</v>
      </c>
      <c r="AF16" s="3" t="s">
        <v>77</v>
      </c>
      <c r="AG16" s="3" t="s">
        <v>71</v>
      </c>
      <c r="AH16" s="3" t="s">
        <v>77</v>
      </c>
      <c r="AI16" s="3" t="s">
        <v>77</v>
      </c>
      <c r="AJ16" s="3" t="s">
        <v>71</v>
      </c>
      <c r="AK16" s="3" t="s">
        <v>71</v>
      </c>
      <c r="AL16" s="3" t="s">
        <v>71</v>
      </c>
      <c r="AM16" s="3" t="s">
        <v>71</v>
      </c>
      <c r="AN16" s="3" t="s">
        <v>71</v>
      </c>
      <c r="AO16" s="3" t="s">
        <v>71</v>
      </c>
      <c r="AP16" s="3" t="s">
        <v>71</v>
      </c>
      <c r="AQ16" s="3" t="s">
        <v>71</v>
      </c>
      <c r="AR16" s="3" t="s">
        <v>71</v>
      </c>
      <c r="AS16" s="3" t="s">
        <v>71</v>
      </c>
      <c r="AT16" s="3" t="s">
        <v>77</v>
      </c>
      <c r="AU16" s="3" t="s">
        <v>77</v>
      </c>
      <c r="AV16" s="3" t="s">
        <v>71</v>
      </c>
      <c r="AW16" s="3" t="s">
        <v>71</v>
      </c>
      <c r="AX16" s="3" t="s">
        <v>77</v>
      </c>
      <c r="AY16" s="3" t="s">
        <v>77</v>
      </c>
      <c r="AZ16" s="3" t="s">
        <v>71</v>
      </c>
      <c r="BA16" s="3" t="s">
        <v>71</v>
      </c>
      <c r="BB16" s="3" t="s">
        <v>77</v>
      </c>
      <c r="BC16" s="3" t="s">
        <v>77</v>
      </c>
      <c r="BD16" s="3" t="s">
        <v>77</v>
      </c>
      <c r="BE16" s="3" t="s">
        <v>71</v>
      </c>
      <c r="BF16" s="3" t="s">
        <v>71</v>
      </c>
      <c r="BG16" s="3" t="s">
        <v>77</v>
      </c>
      <c r="BH16" s="3" t="s">
        <v>77</v>
      </c>
      <c r="BI16" s="3" t="s">
        <v>71</v>
      </c>
      <c r="BJ16" s="3" t="s">
        <v>77</v>
      </c>
      <c r="BK16" s="3" t="s">
        <v>71</v>
      </c>
      <c r="BL16" s="3" t="s">
        <v>77</v>
      </c>
      <c r="BM16" s="3" t="s">
        <v>71</v>
      </c>
      <c r="BN16" s="3" t="s">
        <v>71</v>
      </c>
      <c r="BO16" s="5" t="s">
        <v>77</v>
      </c>
      <c r="BP16" s="6">
        <f t="shared" si="0"/>
        <v>3607000</v>
      </c>
      <c r="BQ16" s="6">
        <v>2000000</v>
      </c>
      <c r="BR16" s="6">
        <f t="shared" si="1"/>
        <v>2000000</v>
      </c>
      <c r="BS16" s="6">
        <f t="shared" si="2"/>
        <v>1607000</v>
      </c>
    </row>
    <row r="17" spans="1:71">
      <c r="A17" s="3">
        <v>14</v>
      </c>
      <c r="B17" s="1" t="s">
        <v>119</v>
      </c>
      <c r="C17" s="1" t="s">
        <v>120</v>
      </c>
      <c r="D17" s="1" t="s">
        <v>74</v>
      </c>
      <c r="E17" s="1" t="s">
        <v>121</v>
      </c>
      <c r="F17" s="1" t="s">
        <v>71</v>
      </c>
      <c r="G17" s="3" t="s">
        <v>71</v>
      </c>
      <c r="H17" s="3" t="s">
        <v>71</v>
      </c>
      <c r="I17" s="3" t="s">
        <v>71</v>
      </c>
      <c r="J17" s="3" t="s">
        <v>71</v>
      </c>
      <c r="K17" s="3" t="s">
        <v>71</v>
      </c>
      <c r="L17" s="3" t="s">
        <v>71</v>
      </c>
      <c r="M17" s="3" t="s">
        <v>77</v>
      </c>
      <c r="N17" s="3" t="s">
        <v>77</v>
      </c>
      <c r="O17" s="3" t="s">
        <v>71</v>
      </c>
      <c r="P17" s="3" t="s">
        <v>71</v>
      </c>
      <c r="Q17" s="3" t="s">
        <v>71</v>
      </c>
      <c r="R17" s="3" t="s">
        <v>71</v>
      </c>
      <c r="S17" s="3" t="s">
        <v>71</v>
      </c>
      <c r="T17" s="3" t="s">
        <v>71</v>
      </c>
      <c r="U17" s="3" t="s">
        <v>77</v>
      </c>
      <c r="V17" s="3" t="s">
        <v>77</v>
      </c>
      <c r="W17" s="3" t="s">
        <v>71</v>
      </c>
      <c r="X17" s="3" t="s">
        <v>71</v>
      </c>
      <c r="Y17" s="3" t="s">
        <v>71</v>
      </c>
      <c r="Z17" s="3" t="s">
        <v>71</v>
      </c>
      <c r="AA17" s="3" t="s">
        <v>71</v>
      </c>
      <c r="AB17" s="3" t="s">
        <v>71</v>
      </c>
      <c r="AC17" s="3" t="s">
        <v>71</v>
      </c>
      <c r="AD17" s="3" t="s">
        <v>71</v>
      </c>
      <c r="AE17" s="3" t="s">
        <v>71</v>
      </c>
      <c r="AF17" s="3" t="s">
        <v>71</v>
      </c>
      <c r="AG17" s="3" t="s">
        <v>71</v>
      </c>
      <c r="AH17" s="3" t="s">
        <v>71</v>
      </c>
      <c r="AI17" s="3" t="s">
        <v>71</v>
      </c>
      <c r="AJ17" s="3" t="s">
        <v>71</v>
      </c>
      <c r="AK17" s="3" t="s">
        <v>71</v>
      </c>
      <c r="AL17" s="3" t="s">
        <v>71</v>
      </c>
      <c r="AM17" s="3" t="s">
        <v>71</v>
      </c>
      <c r="AN17" s="3" t="s">
        <v>71</v>
      </c>
      <c r="AO17" s="3" t="s">
        <v>77</v>
      </c>
      <c r="AP17" s="3" t="s">
        <v>77</v>
      </c>
      <c r="AQ17" s="3" t="s">
        <v>71</v>
      </c>
      <c r="AR17" s="3" t="s">
        <v>71</v>
      </c>
      <c r="AS17" s="3" t="s">
        <v>71</v>
      </c>
      <c r="AT17" s="3" t="s">
        <v>77</v>
      </c>
      <c r="AU17" s="3" t="s">
        <v>71</v>
      </c>
      <c r="AV17" s="3" t="s">
        <v>71</v>
      </c>
      <c r="AW17" s="3" t="s">
        <v>71</v>
      </c>
      <c r="AX17" s="3" t="s">
        <v>71</v>
      </c>
      <c r="AY17" s="3" t="s">
        <v>71</v>
      </c>
      <c r="AZ17" s="3" t="s">
        <v>71</v>
      </c>
      <c r="BA17" s="3" t="s">
        <v>71</v>
      </c>
      <c r="BB17" s="3" t="s">
        <v>77</v>
      </c>
      <c r="BC17" s="3" t="s">
        <v>77</v>
      </c>
      <c r="BD17" s="3" t="s">
        <v>71</v>
      </c>
      <c r="BE17" s="3" t="s">
        <v>77</v>
      </c>
      <c r="BF17" s="3" t="s">
        <v>71</v>
      </c>
      <c r="BG17" s="3" t="s">
        <v>77</v>
      </c>
      <c r="BH17" s="3" t="s">
        <v>77</v>
      </c>
      <c r="BI17" s="3" t="s">
        <v>77</v>
      </c>
      <c r="BJ17" s="3" t="s">
        <v>71</v>
      </c>
      <c r="BK17" s="3" t="s">
        <v>71</v>
      </c>
      <c r="BL17" s="3" t="s">
        <v>71</v>
      </c>
      <c r="BM17" s="3" t="s">
        <v>71</v>
      </c>
      <c r="BN17" s="3" t="s">
        <v>71</v>
      </c>
      <c r="BO17" s="5" t="s">
        <v>71</v>
      </c>
      <c r="BP17" s="6">
        <f t="shared" si="0"/>
        <v>2212100</v>
      </c>
      <c r="BQ17" s="6">
        <v>2000000</v>
      </c>
      <c r="BR17" s="6">
        <f t="shared" si="1"/>
        <v>2000000</v>
      </c>
      <c r="BS17" s="6">
        <f t="shared" si="2"/>
        <v>212100</v>
      </c>
    </row>
    <row r="18" spans="1:71" ht="15.75">
      <c r="BN18" s="8" t="s">
        <v>125</v>
      </c>
      <c r="BO18" s="8"/>
      <c r="BP18" s="7">
        <f>SUM(BP4:BP17)</f>
        <v>31550700</v>
      </c>
      <c r="BQ18" s="7">
        <f t="shared" ref="BQ18:BS18" si="3">SUM(BQ4:BQ17)</f>
        <v>28000000</v>
      </c>
      <c r="BR18" s="7">
        <f t="shared" si="3"/>
        <v>26521300</v>
      </c>
      <c r="BS18" s="7">
        <f t="shared" si="3"/>
        <v>5029400</v>
      </c>
    </row>
  </sheetData>
  <autoFilter ref="A3:BS18" xr:uid="{00000000-0001-0000-0000-000000000000}">
    <filterColumn colId="27" showButton="0"/>
  </autoFilter>
  <mergeCells count="9">
    <mergeCell ref="N1:Z1"/>
    <mergeCell ref="G1:M1"/>
    <mergeCell ref="A1:F1"/>
    <mergeCell ref="BN18:BO18"/>
    <mergeCell ref="AB3:AC3"/>
    <mergeCell ref="BP2:BP3"/>
    <mergeCell ref="BQ2:BQ3"/>
    <mergeCell ref="BR2:BR3"/>
    <mergeCell ref="BS2:BS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2025-06-17T03:21:36Z</dcterms:modified>
</cp:coreProperties>
</file>