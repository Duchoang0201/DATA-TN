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6\CÔNG TY TNHH THƯƠNG MẠI DỊCH VỤ TPC (72-2025) (TB 59-2025)\"/>
    </mc:Choice>
  </mc:AlternateContent>
  <xr:revisionPtr revIDLastSave="0" documentId="13_ncr:1_{9E10325C-37D5-42C2-BD80-770E10C02A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ổng hợp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" i="1" l="1"/>
  <c r="AC6" i="1"/>
  <c r="AC7" i="1"/>
  <c r="AC10" i="1"/>
  <c r="AC11" i="1"/>
  <c r="AC12" i="1"/>
  <c r="AC13" i="1"/>
  <c r="AC14" i="1"/>
  <c r="AC15" i="1" s="1"/>
  <c r="AC4" i="1"/>
</calcChain>
</file>

<file path=xl/sharedStrings.xml><?xml version="1.0" encoding="utf-8"?>
<sst xmlns="http://schemas.openxmlformats.org/spreadsheetml/2006/main" count="394" uniqueCount="64">
  <si>
    <t>Thông tin khách hàng</t>
  </si>
  <si>
    <t>Cận lâm sàng</t>
  </si>
  <si>
    <t>Xét nghiệm</t>
  </si>
  <si>
    <t>STT</t>
  </si>
  <si>
    <t>Họ và tên</t>
  </si>
  <si>
    <t>Ngày sinh</t>
  </si>
  <si>
    <t>Giới tính</t>
  </si>
  <si>
    <t>Bộ phận</t>
  </si>
  <si>
    <t>Khám Nội-Khám Sức Khỏe (TT32_BYT)</t>
  </si>
  <si>
    <t>Khám SPK-Khám Sức Khỏe (TT32_BYT)</t>
  </si>
  <si>
    <t>Khám vú</t>
  </si>
  <si>
    <t>Tổng Kết Hồ Sơ Khám Sức Khỏe (TT32_BYT)</t>
  </si>
  <si>
    <t>Chụp Cột sống thắt lưng(T+N) (XQ số hóa 1 phim)</t>
  </si>
  <si>
    <t>Chụp X-quang tim phổi kỹ thuật số (hãng Fuji-Nhật)</t>
  </si>
  <si>
    <t>Siêu âm màu Bụng Tổng Quát (Máy GE LOGIQ S7 Expert)</t>
  </si>
  <si>
    <t>Siêu âm màu Tuyến Giáp</t>
  </si>
  <si>
    <t>Siêu âm màu Tuyến Vú</t>
  </si>
  <si>
    <t>Siêu âm tim 2D (Máy Siemens SC 2000)</t>
  </si>
  <si>
    <t>Alpha FP (AFP)</t>
  </si>
  <si>
    <t>ALT (SGPT)</t>
  </si>
  <si>
    <t>AST (SGOT)</t>
  </si>
  <si>
    <t>CEA</t>
  </si>
  <si>
    <t>CYFRA 21.1</t>
  </si>
  <si>
    <t>Cholesterol TP</t>
  </si>
  <si>
    <t>Định lượng CREATINIE máu</t>
  </si>
  <si>
    <t>Định lượng GLUCOSE máu</t>
  </si>
  <si>
    <t>NƯỚC TIỂU 10 THÔNG SỐ (KSK)</t>
  </si>
  <si>
    <t>Nhuộm phiến đồ tế bào theo Papanicolaou</t>
  </si>
  <si>
    <t>Tổng phân tích tế bào máu bằng máy laser</t>
  </si>
  <si>
    <t>Urea</t>
  </si>
  <si>
    <t>Xét nghiệm HBsAg (test nhanh)</t>
  </si>
  <si>
    <t/>
  </si>
  <si>
    <t>Lý Bình Sung</t>
  </si>
  <si>
    <t>1986</t>
  </si>
  <si>
    <t>Nam</t>
  </si>
  <si>
    <t>CN Đà Nẵng</t>
  </si>
  <si>
    <t>X</t>
  </si>
  <si>
    <t>Nguyễn Kháng</t>
  </si>
  <si>
    <t>1980</t>
  </si>
  <si>
    <t>Trịnh Quang Pháp</t>
  </si>
  <si>
    <t>1992</t>
  </si>
  <si>
    <t>Lê Công Bảo</t>
  </si>
  <si>
    <t>1989</t>
  </si>
  <si>
    <t>Huỳnh Thị Bình Minh</t>
  </si>
  <si>
    <t>1977</t>
  </si>
  <si>
    <t>Nữ</t>
  </si>
  <si>
    <t>Trương Thị Cẩm Huyền</t>
  </si>
  <si>
    <t>2006</t>
  </si>
  <si>
    <t>Võ Văn Tào</t>
  </si>
  <si>
    <t>1988</t>
  </si>
  <si>
    <t>Mai Thanh Huy</t>
  </si>
  <si>
    <t>1990</t>
  </si>
  <si>
    <t>Trần Duy Hữu</t>
  </si>
  <si>
    <t>1993</t>
  </si>
  <si>
    <t>Phạm Viết Thắng</t>
  </si>
  <si>
    <t>Lê Thị Kim Dung</t>
  </si>
  <si>
    <t>1984</t>
  </si>
  <si>
    <t>Ưu đãi trong gói khám</t>
  </si>
  <si>
    <t>CHI PHÍ</t>
  </si>
  <si>
    <t>NOTE</t>
  </si>
  <si>
    <t>BỎ PAPSMEAR</t>
  </si>
  <si>
    <t>KHÔNG KHÁM</t>
  </si>
  <si>
    <t>XUẤT HOÁ ĐƠN LẺ</t>
  </si>
  <si>
    <t>Chi phí  (VND)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</si>
</sst>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6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3" fontId="2" fillId="0" borderId="2" xfId="0" applyNumberFormat="1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3" fontId="2" fillId="0" borderId="6" xfId="0" applyNumberFormat="1" applyFont="1" applyBorder="1"/>
    <xf numFmtId="3" fontId="2" fillId="0" borderId="6" xfId="0" applyNumberFormat="1" applyFont="1" applyBorder="1" applyAlignment="1">
      <alignment horizontal="left" vertical="center"/>
    </xf>
    <xf numFmtId="3" fontId="3" fillId="2" borderId="0" xfId="0" applyNumberFormat="1" applyFont="1" applyFill="1"/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/>
    <xf numFmtId="3" fontId="2" fillId="0" borderId="2" xfId="0" applyNumberFormat="1" applyFont="1" applyBorder="1" applyAlignment="1">
      <alignment horizontal="center" vertical="top" wrapText="1"/>
    </xf>
    <xf numFmtId="3" fontId="2" fillId="0" borderId="3" xfId="0" applyNumberFormat="1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4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"/>
  <sheetViews>
    <sheetView tabSelected="1" zoomScale="85" zoomScaleNormal="85" workbookViewId="0">
      <pane xSplit="2" ySplit="3" topLeftCell="S4" activePane="bottomRight" state="frozen"/>
      <selection pane="topRight" activeCell="C1" sqref="C1"/>
      <selection pane="bottomLeft" activeCell="A4" sqref="A4"/>
      <selection pane="bottomRight" activeCell="Y12" sqref="Y12"/>
    </sheetView>
  </sheetViews>
  <sheetFormatPr defaultRowHeight="15" x14ac:dyDescent="0.25"/>
  <cols>
    <col min="2" max="2" width="25" customWidth="1"/>
    <col min="3" max="3" width="10" customWidth="1"/>
    <col min="5" max="5" width="20" customWidth="1"/>
    <col min="6" max="28" width="15" customWidth="1"/>
    <col min="29" max="29" width="14.28515625" bestFit="1" customWidth="1"/>
    <col min="30" max="30" width="20.28515625" customWidth="1"/>
  </cols>
  <sheetData>
    <row r="1" spans="1:30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0" t="s">
        <v>1</v>
      </c>
      <c r="K1" s="11"/>
      <c r="L1" s="11"/>
      <c r="M1" s="11"/>
      <c r="N1" s="11"/>
      <c r="O1" s="11"/>
      <c r="P1" s="10" t="s">
        <v>2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30" ht="71.25" x14ac:dyDescent="0.25">
      <c r="A2" s="14" t="s">
        <v>3</v>
      </c>
      <c r="B2" s="14" t="s">
        <v>4</v>
      </c>
      <c r="C2" s="14" t="s">
        <v>5</v>
      </c>
      <c r="D2" s="14" t="s">
        <v>6</v>
      </c>
      <c r="E2" s="14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9" t="s">
        <v>58</v>
      </c>
      <c r="AD2" s="9" t="s">
        <v>59</v>
      </c>
    </row>
    <row r="3" spans="1:30" ht="28.5" x14ac:dyDescent="0.25">
      <c r="A3" s="15"/>
      <c r="B3" s="15"/>
      <c r="C3" s="15"/>
      <c r="D3" s="15"/>
      <c r="E3" s="15"/>
      <c r="F3" s="2" t="s">
        <v>57</v>
      </c>
      <c r="G3" s="2" t="s">
        <v>57</v>
      </c>
      <c r="H3" s="2" t="s">
        <v>57</v>
      </c>
      <c r="I3" s="2" t="s">
        <v>57</v>
      </c>
      <c r="J3" s="4">
        <v>100000</v>
      </c>
      <c r="K3" s="4">
        <v>82000</v>
      </c>
      <c r="L3" s="4">
        <v>160000</v>
      </c>
      <c r="M3" s="4">
        <v>160000</v>
      </c>
      <c r="N3" s="4">
        <v>160000</v>
      </c>
      <c r="O3" s="4">
        <v>220000</v>
      </c>
      <c r="P3" s="4">
        <v>97000</v>
      </c>
      <c r="Q3" s="12">
        <v>48000</v>
      </c>
      <c r="R3" s="13"/>
      <c r="S3" s="4">
        <v>139000</v>
      </c>
      <c r="T3" s="4">
        <v>138000</v>
      </c>
      <c r="U3" s="4">
        <v>38000</v>
      </c>
      <c r="V3" s="4">
        <v>33000</v>
      </c>
      <c r="W3" s="4">
        <v>22000</v>
      </c>
      <c r="X3" s="4">
        <v>47000</v>
      </c>
      <c r="Y3" s="4">
        <v>200000</v>
      </c>
      <c r="Z3" s="4">
        <v>60000</v>
      </c>
      <c r="AA3" s="4">
        <v>33000</v>
      </c>
      <c r="AB3" s="4">
        <v>53000</v>
      </c>
      <c r="AC3" s="9"/>
      <c r="AD3" s="9"/>
    </row>
    <row r="4" spans="1:30" x14ac:dyDescent="0.25">
      <c r="A4" s="3">
        <v>1</v>
      </c>
      <c r="B4" s="1" t="s">
        <v>32</v>
      </c>
      <c r="C4" s="1" t="s">
        <v>33</v>
      </c>
      <c r="D4" s="1" t="s">
        <v>34</v>
      </c>
      <c r="E4" s="1" t="s">
        <v>35</v>
      </c>
      <c r="F4" s="3" t="s">
        <v>36</v>
      </c>
      <c r="G4" s="3" t="s">
        <v>31</v>
      </c>
      <c r="H4" s="3" t="s">
        <v>31</v>
      </c>
      <c r="I4" s="3" t="s">
        <v>36</v>
      </c>
      <c r="J4" s="3" t="s">
        <v>36</v>
      </c>
      <c r="K4" s="3" t="s">
        <v>36</v>
      </c>
      <c r="L4" s="3" t="s">
        <v>36</v>
      </c>
      <c r="M4" s="3" t="s">
        <v>36</v>
      </c>
      <c r="N4" s="3" t="s">
        <v>31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31</v>
      </c>
      <c r="Z4" s="3" t="s">
        <v>36</v>
      </c>
      <c r="AA4" s="3" t="s">
        <v>36</v>
      </c>
      <c r="AB4" s="5" t="s">
        <v>36</v>
      </c>
      <c r="AC4" s="6">
        <f>SUMIF(F4:AB4,"X",$F$3:$AB$3)</f>
        <v>1430000</v>
      </c>
      <c r="AD4" s="7"/>
    </row>
    <row r="5" spans="1:30" x14ac:dyDescent="0.25">
      <c r="A5" s="3">
        <v>2</v>
      </c>
      <c r="B5" s="1" t="s">
        <v>37</v>
      </c>
      <c r="C5" s="1" t="s">
        <v>38</v>
      </c>
      <c r="D5" s="1" t="s">
        <v>34</v>
      </c>
      <c r="E5" s="1" t="s">
        <v>35</v>
      </c>
      <c r="F5" s="3" t="s">
        <v>36</v>
      </c>
      <c r="G5" s="3" t="s">
        <v>31</v>
      </c>
      <c r="H5" s="3" t="s">
        <v>31</v>
      </c>
      <c r="I5" s="3" t="s">
        <v>36</v>
      </c>
      <c r="J5" s="3" t="s">
        <v>36</v>
      </c>
      <c r="K5" s="3" t="s">
        <v>36</v>
      </c>
      <c r="L5" s="3" t="s">
        <v>36</v>
      </c>
      <c r="M5" s="3" t="s">
        <v>36</v>
      </c>
      <c r="N5" s="3" t="s">
        <v>31</v>
      </c>
      <c r="O5" s="3" t="s">
        <v>36</v>
      </c>
      <c r="P5" s="3" t="s">
        <v>36</v>
      </c>
      <c r="Q5" s="3" t="s">
        <v>36</v>
      </c>
      <c r="R5" s="3" t="s">
        <v>36</v>
      </c>
      <c r="S5" s="3" t="s">
        <v>36</v>
      </c>
      <c r="T5" s="3" t="s">
        <v>36</v>
      </c>
      <c r="U5" s="3" t="s">
        <v>36</v>
      </c>
      <c r="V5" s="3" t="s">
        <v>36</v>
      </c>
      <c r="W5" s="3" t="s">
        <v>36</v>
      </c>
      <c r="X5" s="3" t="s">
        <v>36</v>
      </c>
      <c r="Y5" s="3" t="s">
        <v>31</v>
      </c>
      <c r="Z5" s="3" t="s">
        <v>36</v>
      </c>
      <c r="AA5" s="3" t="s">
        <v>36</v>
      </c>
      <c r="AB5" s="5" t="s">
        <v>36</v>
      </c>
      <c r="AC5" s="6">
        <f t="shared" ref="AC5:AC14" si="0">SUMIF(F5:AB5,"X",$F$3:$AB$3)</f>
        <v>1430000</v>
      </c>
      <c r="AD5" s="7"/>
    </row>
    <row r="6" spans="1:30" x14ac:dyDescent="0.25">
      <c r="A6" s="3">
        <v>3</v>
      </c>
      <c r="B6" s="1" t="s">
        <v>39</v>
      </c>
      <c r="C6" s="1" t="s">
        <v>40</v>
      </c>
      <c r="D6" s="1" t="s">
        <v>34</v>
      </c>
      <c r="E6" s="1" t="s">
        <v>35</v>
      </c>
      <c r="F6" s="3" t="s">
        <v>36</v>
      </c>
      <c r="G6" s="3" t="s">
        <v>31</v>
      </c>
      <c r="H6" s="3" t="s">
        <v>31</v>
      </c>
      <c r="I6" s="3" t="s">
        <v>36</v>
      </c>
      <c r="J6" s="3" t="s">
        <v>36</v>
      </c>
      <c r="K6" s="3" t="s">
        <v>36</v>
      </c>
      <c r="L6" s="3" t="s">
        <v>36</v>
      </c>
      <c r="M6" s="3" t="s">
        <v>36</v>
      </c>
      <c r="N6" s="3" t="s">
        <v>31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31</v>
      </c>
      <c r="Z6" s="3" t="s">
        <v>36</v>
      </c>
      <c r="AA6" s="3" t="s">
        <v>36</v>
      </c>
      <c r="AB6" s="5" t="s">
        <v>36</v>
      </c>
      <c r="AC6" s="6">
        <f t="shared" si="0"/>
        <v>1430000</v>
      </c>
      <c r="AD6" s="7"/>
    </row>
    <row r="7" spans="1:30" x14ac:dyDescent="0.25">
      <c r="A7" s="3">
        <v>4</v>
      </c>
      <c r="B7" s="1" t="s">
        <v>41</v>
      </c>
      <c r="C7" s="1" t="s">
        <v>42</v>
      </c>
      <c r="D7" s="1" t="s">
        <v>34</v>
      </c>
      <c r="E7" s="1" t="s">
        <v>35</v>
      </c>
      <c r="F7" s="3" t="s">
        <v>36</v>
      </c>
      <c r="G7" s="3" t="s">
        <v>31</v>
      </c>
      <c r="H7" s="3" t="s">
        <v>31</v>
      </c>
      <c r="I7" s="3" t="s">
        <v>36</v>
      </c>
      <c r="J7" s="3" t="s">
        <v>36</v>
      </c>
      <c r="K7" s="3" t="s">
        <v>36</v>
      </c>
      <c r="L7" s="3" t="s">
        <v>36</v>
      </c>
      <c r="M7" s="3" t="s">
        <v>36</v>
      </c>
      <c r="N7" s="3" t="s">
        <v>31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31</v>
      </c>
      <c r="Z7" s="3" t="s">
        <v>36</v>
      </c>
      <c r="AA7" s="3" t="s">
        <v>36</v>
      </c>
      <c r="AB7" s="5" t="s">
        <v>36</v>
      </c>
      <c r="AC7" s="6">
        <f t="shared" si="0"/>
        <v>1430000</v>
      </c>
      <c r="AD7" s="7"/>
    </row>
    <row r="8" spans="1:30" x14ac:dyDescent="0.25">
      <c r="A8" s="3">
        <v>5</v>
      </c>
      <c r="B8" s="1" t="s">
        <v>43</v>
      </c>
      <c r="C8" s="1" t="s">
        <v>44</v>
      </c>
      <c r="D8" s="1" t="s">
        <v>45</v>
      </c>
      <c r="E8" s="1" t="s">
        <v>35</v>
      </c>
      <c r="F8" s="3" t="s">
        <v>36</v>
      </c>
      <c r="G8" s="3" t="s">
        <v>36</v>
      </c>
      <c r="H8" s="3" t="s">
        <v>36</v>
      </c>
      <c r="I8" s="3" t="s">
        <v>36</v>
      </c>
      <c r="J8" s="3" t="s">
        <v>36</v>
      </c>
      <c r="K8" s="3" t="s">
        <v>36</v>
      </c>
      <c r="L8" s="3" t="s">
        <v>36</v>
      </c>
      <c r="M8" s="3" t="s">
        <v>36</v>
      </c>
      <c r="N8" s="3" t="s">
        <v>36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  <c r="AA8" s="3" t="s">
        <v>36</v>
      </c>
      <c r="AB8" s="5" t="s">
        <v>36</v>
      </c>
      <c r="AC8" s="6">
        <v>0</v>
      </c>
      <c r="AD8" s="7" t="s">
        <v>61</v>
      </c>
    </row>
    <row r="9" spans="1:30" x14ac:dyDescent="0.25">
      <c r="A9" s="3">
        <v>6</v>
      </c>
      <c r="B9" s="1" t="s">
        <v>46</v>
      </c>
      <c r="C9" s="1" t="s">
        <v>47</v>
      </c>
      <c r="D9" s="1" t="s">
        <v>45</v>
      </c>
      <c r="E9" s="1" t="s">
        <v>35</v>
      </c>
      <c r="F9" s="3" t="s">
        <v>36</v>
      </c>
      <c r="G9" s="3" t="s">
        <v>36</v>
      </c>
      <c r="H9" s="3" t="s">
        <v>36</v>
      </c>
      <c r="I9" s="3" t="s">
        <v>36</v>
      </c>
      <c r="J9" s="3" t="s">
        <v>36</v>
      </c>
      <c r="K9" s="3" t="s">
        <v>36</v>
      </c>
      <c r="L9" s="3" t="s">
        <v>36</v>
      </c>
      <c r="M9" s="3" t="s">
        <v>36</v>
      </c>
      <c r="N9" s="3" t="s">
        <v>36</v>
      </c>
      <c r="O9" s="3" t="s">
        <v>36</v>
      </c>
      <c r="P9" s="3" t="s">
        <v>36</v>
      </c>
      <c r="Q9" s="3" t="s">
        <v>36</v>
      </c>
      <c r="R9" s="3" t="s">
        <v>36</v>
      </c>
      <c r="S9" s="3" t="s">
        <v>36</v>
      </c>
      <c r="T9" s="3" t="s">
        <v>36</v>
      </c>
      <c r="U9" s="3" t="s">
        <v>36</v>
      </c>
      <c r="V9" s="3" t="s">
        <v>36</v>
      </c>
      <c r="W9" s="3" t="s">
        <v>36</v>
      </c>
      <c r="X9" s="3" t="s">
        <v>36</v>
      </c>
      <c r="Y9" s="3" t="s">
        <v>36</v>
      </c>
      <c r="Z9" s="3" t="s">
        <v>36</v>
      </c>
      <c r="AA9" s="3" t="s">
        <v>36</v>
      </c>
      <c r="AB9" s="5" t="s">
        <v>36</v>
      </c>
      <c r="AC9" s="6">
        <v>0</v>
      </c>
      <c r="AD9" s="7" t="s">
        <v>61</v>
      </c>
    </row>
    <row r="10" spans="1:30" x14ac:dyDescent="0.25">
      <c r="A10" s="3">
        <v>7</v>
      </c>
      <c r="B10" s="1" t="s">
        <v>48</v>
      </c>
      <c r="C10" s="1" t="s">
        <v>49</v>
      </c>
      <c r="D10" s="1" t="s">
        <v>34</v>
      </c>
      <c r="E10" s="1" t="s">
        <v>35</v>
      </c>
      <c r="F10" s="3" t="s">
        <v>36</v>
      </c>
      <c r="G10" s="3" t="s">
        <v>31</v>
      </c>
      <c r="H10" s="3" t="s">
        <v>31</v>
      </c>
      <c r="I10" s="3" t="s">
        <v>36</v>
      </c>
      <c r="J10" s="3" t="s">
        <v>36</v>
      </c>
      <c r="K10" s="3" t="s">
        <v>36</v>
      </c>
      <c r="L10" s="3" t="s">
        <v>36</v>
      </c>
      <c r="M10" s="3" t="s">
        <v>36</v>
      </c>
      <c r="N10" s="3" t="s">
        <v>31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36</v>
      </c>
      <c r="T10" s="3" t="s">
        <v>36</v>
      </c>
      <c r="U10" s="3" t="s">
        <v>36</v>
      </c>
      <c r="V10" s="3" t="s">
        <v>36</v>
      </c>
      <c r="W10" s="3" t="s">
        <v>36</v>
      </c>
      <c r="X10" s="3" t="s">
        <v>36</v>
      </c>
      <c r="Y10" s="3" t="s">
        <v>31</v>
      </c>
      <c r="Z10" s="3" t="s">
        <v>36</v>
      </c>
      <c r="AA10" s="3" t="s">
        <v>36</v>
      </c>
      <c r="AB10" s="5" t="s">
        <v>36</v>
      </c>
      <c r="AC10" s="6">
        <f t="shared" si="0"/>
        <v>1430000</v>
      </c>
      <c r="AD10" s="7"/>
    </row>
    <row r="11" spans="1:30" x14ac:dyDescent="0.25">
      <c r="A11" s="3">
        <v>8</v>
      </c>
      <c r="B11" s="1" t="s">
        <v>50</v>
      </c>
      <c r="C11" s="1" t="s">
        <v>51</v>
      </c>
      <c r="D11" s="1" t="s">
        <v>34</v>
      </c>
      <c r="E11" s="1" t="s">
        <v>35</v>
      </c>
      <c r="F11" s="3" t="s">
        <v>36</v>
      </c>
      <c r="G11" s="3" t="s">
        <v>31</v>
      </c>
      <c r="H11" s="3" t="s">
        <v>31</v>
      </c>
      <c r="I11" s="3" t="s">
        <v>36</v>
      </c>
      <c r="J11" s="3" t="s">
        <v>36</v>
      </c>
      <c r="K11" s="3" t="s">
        <v>36</v>
      </c>
      <c r="L11" s="3" t="s">
        <v>36</v>
      </c>
      <c r="M11" s="3" t="s">
        <v>36</v>
      </c>
      <c r="N11" s="3" t="s">
        <v>31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36</v>
      </c>
      <c r="T11" s="3" t="s">
        <v>36</v>
      </c>
      <c r="U11" s="3" t="s">
        <v>36</v>
      </c>
      <c r="V11" s="3" t="s">
        <v>36</v>
      </c>
      <c r="W11" s="3" t="s">
        <v>36</v>
      </c>
      <c r="X11" s="3" t="s">
        <v>36</v>
      </c>
      <c r="Y11" s="3" t="s">
        <v>31</v>
      </c>
      <c r="Z11" s="3" t="s">
        <v>36</v>
      </c>
      <c r="AA11" s="3" t="s">
        <v>36</v>
      </c>
      <c r="AB11" s="5" t="s">
        <v>36</v>
      </c>
      <c r="AC11" s="6">
        <f t="shared" si="0"/>
        <v>1430000</v>
      </c>
      <c r="AD11" s="7"/>
    </row>
    <row r="12" spans="1:30" x14ac:dyDescent="0.25">
      <c r="A12" s="3">
        <v>9</v>
      </c>
      <c r="B12" s="1" t="s">
        <v>52</v>
      </c>
      <c r="C12" s="1" t="s">
        <v>53</v>
      </c>
      <c r="D12" s="1" t="s">
        <v>34</v>
      </c>
      <c r="E12" s="1" t="s">
        <v>35</v>
      </c>
      <c r="F12" s="3" t="s">
        <v>36</v>
      </c>
      <c r="G12" s="3" t="s">
        <v>31</v>
      </c>
      <c r="H12" s="3" t="s">
        <v>31</v>
      </c>
      <c r="I12" s="3" t="s">
        <v>36</v>
      </c>
      <c r="J12" s="3" t="s">
        <v>36</v>
      </c>
      <c r="K12" s="3" t="s">
        <v>36</v>
      </c>
      <c r="L12" s="3" t="s">
        <v>36</v>
      </c>
      <c r="M12" s="3" t="s">
        <v>36</v>
      </c>
      <c r="N12" s="3" t="s">
        <v>31</v>
      </c>
      <c r="O12" s="3" t="s">
        <v>36</v>
      </c>
      <c r="P12" s="3" t="s">
        <v>36</v>
      </c>
      <c r="Q12" s="3" t="s">
        <v>36</v>
      </c>
      <c r="R12" s="3" t="s">
        <v>36</v>
      </c>
      <c r="S12" s="3" t="s">
        <v>36</v>
      </c>
      <c r="T12" s="3" t="s">
        <v>36</v>
      </c>
      <c r="U12" s="3" t="s">
        <v>36</v>
      </c>
      <c r="V12" s="3" t="s">
        <v>36</v>
      </c>
      <c r="W12" s="3" t="s">
        <v>36</v>
      </c>
      <c r="X12" s="3" t="s">
        <v>36</v>
      </c>
      <c r="Y12" s="3" t="s">
        <v>31</v>
      </c>
      <c r="Z12" s="3" t="s">
        <v>36</v>
      </c>
      <c r="AA12" s="3" t="s">
        <v>36</v>
      </c>
      <c r="AB12" s="5" t="s">
        <v>36</v>
      </c>
      <c r="AC12" s="6">
        <f t="shared" si="0"/>
        <v>1430000</v>
      </c>
      <c r="AD12" s="7" t="s">
        <v>62</v>
      </c>
    </row>
    <row r="13" spans="1:30" x14ac:dyDescent="0.25">
      <c r="A13" s="3">
        <v>10</v>
      </c>
      <c r="B13" s="1" t="s">
        <v>54</v>
      </c>
      <c r="C13" s="1" t="s">
        <v>51</v>
      </c>
      <c r="D13" s="1" t="s">
        <v>34</v>
      </c>
      <c r="E13" s="1" t="s">
        <v>35</v>
      </c>
      <c r="F13" s="3" t="s">
        <v>36</v>
      </c>
      <c r="G13" s="3" t="s">
        <v>31</v>
      </c>
      <c r="H13" s="3" t="s">
        <v>31</v>
      </c>
      <c r="I13" s="3" t="s">
        <v>36</v>
      </c>
      <c r="J13" s="3" t="s">
        <v>36</v>
      </c>
      <c r="K13" s="3" t="s">
        <v>36</v>
      </c>
      <c r="L13" s="3" t="s">
        <v>36</v>
      </c>
      <c r="M13" s="3" t="s">
        <v>36</v>
      </c>
      <c r="N13" s="3" t="s">
        <v>31</v>
      </c>
      <c r="O13" s="3" t="s">
        <v>36</v>
      </c>
      <c r="P13" s="3" t="s">
        <v>36</v>
      </c>
      <c r="Q13" s="3" t="s">
        <v>36</v>
      </c>
      <c r="R13" s="3" t="s">
        <v>36</v>
      </c>
      <c r="S13" s="3" t="s">
        <v>36</v>
      </c>
      <c r="T13" s="3" t="s">
        <v>36</v>
      </c>
      <c r="U13" s="3" t="s">
        <v>36</v>
      </c>
      <c r="V13" s="3" t="s">
        <v>36</v>
      </c>
      <c r="W13" s="3" t="s">
        <v>36</v>
      </c>
      <c r="X13" s="3" t="s">
        <v>36</v>
      </c>
      <c r="Y13" s="3" t="s">
        <v>31</v>
      </c>
      <c r="Z13" s="3" t="s">
        <v>36</v>
      </c>
      <c r="AA13" s="3" t="s">
        <v>36</v>
      </c>
      <c r="AB13" s="5" t="s">
        <v>36</v>
      </c>
      <c r="AC13" s="6">
        <f t="shared" si="0"/>
        <v>1430000</v>
      </c>
      <c r="AD13" s="7" t="s">
        <v>62</v>
      </c>
    </row>
    <row r="14" spans="1:30" x14ac:dyDescent="0.25">
      <c r="A14" s="3">
        <v>11</v>
      </c>
      <c r="B14" s="1" t="s">
        <v>55</v>
      </c>
      <c r="C14" s="1" t="s">
        <v>56</v>
      </c>
      <c r="D14" s="1" t="s">
        <v>45</v>
      </c>
      <c r="E14" s="1" t="s">
        <v>35</v>
      </c>
      <c r="F14" s="3" t="s">
        <v>36</v>
      </c>
      <c r="G14" s="3" t="s">
        <v>36</v>
      </c>
      <c r="H14" s="3" t="s">
        <v>36</v>
      </c>
      <c r="I14" s="3" t="s">
        <v>36</v>
      </c>
      <c r="J14" s="3" t="s">
        <v>36</v>
      </c>
      <c r="K14" s="3" t="s">
        <v>36</v>
      </c>
      <c r="L14" s="3" t="s">
        <v>36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36</v>
      </c>
      <c r="T14" s="3" t="s">
        <v>36</v>
      </c>
      <c r="U14" s="3" t="s">
        <v>36</v>
      </c>
      <c r="V14" s="3" t="s">
        <v>36</v>
      </c>
      <c r="W14" s="3" t="s">
        <v>36</v>
      </c>
      <c r="X14" s="3" t="s">
        <v>36</v>
      </c>
      <c r="Y14" s="3" t="s">
        <v>36</v>
      </c>
      <c r="Z14" s="3" t="s">
        <v>36</v>
      </c>
      <c r="AA14" s="3" t="s">
        <v>36</v>
      </c>
      <c r="AB14" s="5" t="s">
        <v>36</v>
      </c>
      <c r="AC14" s="6">
        <f t="shared" si="0"/>
        <v>1790000</v>
      </c>
      <c r="AD14" s="7"/>
    </row>
    <row r="15" spans="1:30" ht="15.75" x14ac:dyDescent="0.25">
      <c r="AC15" s="8">
        <f>SUM(AC4:AC14)</f>
        <v>13230000</v>
      </c>
    </row>
  </sheetData>
  <mergeCells count="12">
    <mergeCell ref="A1:E1"/>
    <mergeCell ref="A2:A3"/>
    <mergeCell ref="B2:B3"/>
    <mergeCell ref="C2:C3"/>
    <mergeCell ref="D2:D3"/>
    <mergeCell ref="E2:E3"/>
    <mergeCell ref="AC2:AC3"/>
    <mergeCell ref="AD2:AD3"/>
    <mergeCell ref="P1:AB1"/>
    <mergeCell ref="J1:O1"/>
    <mergeCell ref="F1:I1"/>
    <mergeCell ref="Q3: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93E1-B827-40C5-AE24-6A2D5F78A32F}">
  <dimension ref="A1:G13"/>
  <sheetViews>
    <sheetView workbookViewId="0">
      <selection activeCell="F1" sqref="F1:F2"/>
    </sheetView>
  </sheetViews>
  <sheetFormatPr defaultRowHeight="15" x14ac:dyDescent="0.25"/>
  <cols>
    <col min="1" max="1" width="5" bestFit="1" customWidth="1"/>
    <col min="2" max="2" width="21.7109375" bestFit="1" customWidth="1"/>
    <col min="3" max="3" width="10.140625" bestFit="1" customWidth="1"/>
    <col min="4" max="4" width="9" bestFit="1" customWidth="1"/>
    <col min="5" max="5" width="12.28515625" bestFit="1" customWidth="1"/>
    <col min="6" max="6" width="10.140625" bestFit="1" customWidth="1"/>
    <col min="7" max="7" width="21.85546875" bestFit="1" customWidth="1"/>
  </cols>
  <sheetData>
    <row r="1" spans="1:7" x14ac:dyDescent="0.25">
      <c r="A1" s="16" t="s">
        <v>3</v>
      </c>
      <c r="B1" s="16" t="s">
        <v>4</v>
      </c>
      <c r="C1" s="16" t="s">
        <v>5</v>
      </c>
      <c r="D1" s="16" t="s">
        <v>6</v>
      </c>
      <c r="E1" s="16" t="s">
        <v>7</v>
      </c>
      <c r="F1" s="9" t="s">
        <v>63</v>
      </c>
      <c r="G1" s="9" t="s">
        <v>59</v>
      </c>
    </row>
    <row r="2" spans="1:7" x14ac:dyDescent="0.25">
      <c r="A2" s="15"/>
      <c r="B2" s="15"/>
      <c r="C2" s="15"/>
      <c r="D2" s="15"/>
      <c r="E2" s="15"/>
      <c r="F2" s="9"/>
      <c r="G2" s="9"/>
    </row>
    <row r="3" spans="1:7" x14ac:dyDescent="0.25">
      <c r="A3" s="3">
        <v>1</v>
      </c>
      <c r="B3" s="3" t="s">
        <v>32</v>
      </c>
      <c r="C3" s="3" t="s">
        <v>33</v>
      </c>
      <c r="D3" s="3" t="s">
        <v>34</v>
      </c>
      <c r="E3" s="3" t="s">
        <v>35</v>
      </c>
      <c r="F3" s="6">
        <v>1430000</v>
      </c>
      <c r="G3" s="7"/>
    </row>
    <row r="4" spans="1:7" x14ac:dyDescent="0.25">
      <c r="A4" s="3">
        <v>2</v>
      </c>
      <c r="B4" s="3" t="s">
        <v>37</v>
      </c>
      <c r="C4" s="3" t="s">
        <v>38</v>
      </c>
      <c r="D4" s="3" t="s">
        <v>34</v>
      </c>
      <c r="E4" s="3" t="s">
        <v>35</v>
      </c>
      <c r="F4" s="6">
        <v>1430000</v>
      </c>
      <c r="G4" s="7"/>
    </row>
    <row r="5" spans="1:7" x14ac:dyDescent="0.25">
      <c r="A5" s="3">
        <v>3</v>
      </c>
      <c r="B5" s="3" t="s">
        <v>39</v>
      </c>
      <c r="C5" s="3" t="s">
        <v>40</v>
      </c>
      <c r="D5" s="3" t="s">
        <v>34</v>
      </c>
      <c r="E5" s="3" t="s">
        <v>35</v>
      </c>
      <c r="F5" s="6">
        <v>1430000</v>
      </c>
      <c r="G5" s="7"/>
    </row>
    <row r="6" spans="1:7" x14ac:dyDescent="0.25">
      <c r="A6" s="3">
        <v>4</v>
      </c>
      <c r="B6" s="3" t="s">
        <v>41</v>
      </c>
      <c r="C6" s="3" t="s">
        <v>42</v>
      </c>
      <c r="D6" s="3" t="s">
        <v>34</v>
      </c>
      <c r="E6" s="3" t="s">
        <v>35</v>
      </c>
      <c r="F6" s="6">
        <v>1430000</v>
      </c>
      <c r="G6" s="7"/>
    </row>
    <row r="7" spans="1:7" x14ac:dyDescent="0.25">
      <c r="A7" s="3">
        <v>5</v>
      </c>
      <c r="B7" s="3" t="s">
        <v>43</v>
      </c>
      <c r="C7" s="3" t="s">
        <v>44</v>
      </c>
      <c r="D7" s="3" t="s">
        <v>45</v>
      </c>
      <c r="E7" s="3" t="s">
        <v>35</v>
      </c>
      <c r="F7" s="6">
        <v>0</v>
      </c>
      <c r="G7" s="7" t="s">
        <v>61</v>
      </c>
    </row>
    <row r="8" spans="1:7" x14ac:dyDescent="0.25">
      <c r="A8" s="3">
        <v>6</v>
      </c>
      <c r="B8" s="3" t="s">
        <v>46</v>
      </c>
      <c r="C8" s="3" t="s">
        <v>47</v>
      </c>
      <c r="D8" s="3" t="s">
        <v>45</v>
      </c>
      <c r="E8" s="3" t="s">
        <v>35</v>
      </c>
      <c r="F8" s="6">
        <v>0</v>
      </c>
      <c r="G8" s="7" t="s">
        <v>61</v>
      </c>
    </row>
    <row r="9" spans="1:7" x14ac:dyDescent="0.25">
      <c r="A9" s="3">
        <v>7</v>
      </c>
      <c r="B9" s="3" t="s">
        <v>48</v>
      </c>
      <c r="C9" s="3" t="s">
        <v>49</v>
      </c>
      <c r="D9" s="3" t="s">
        <v>34</v>
      </c>
      <c r="E9" s="3" t="s">
        <v>35</v>
      </c>
      <c r="F9" s="6">
        <v>1430000</v>
      </c>
      <c r="G9" s="7"/>
    </row>
    <row r="10" spans="1:7" x14ac:dyDescent="0.25">
      <c r="A10" s="3">
        <v>8</v>
      </c>
      <c r="B10" s="3" t="s">
        <v>50</v>
      </c>
      <c r="C10" s="3" t="s">
        <v>51</v>
      </c>
      <c r="D10" s="3" t="s">
        <v>34</v>
      </c>
      <c r="E10" s="3" t="s">
        <v>35</v>
      </c>
      <c r="F10" s="6">
        <v>1430000</v>
      </c>
      <c r="G10" s="7"/>
    </row>
    <row r="11" spans="1:7" x14ac:dyDescent="0.25">
      <c r="A11" s="3">
        <v>9</v>
      </c>
      <c r="B11" s="3" t="s">
        <v>52</v>
      </c>
      <c r="C11" s="3" t="s">
        <v>53</v>
      </c>
      <c r="D11" s="3" t="s">
        <v>34</v>
      </c>
      <c r="E11" s="3" t="s">
        <v>35</v>
      </c>
      <c r="F11" s="6">
        <v>1430000</v>
      </c>
      <c r="G11" s="7" t="s">
        <v>62</v>
      </c>
    </row>
    <row r="12" spans="1:7" x14ac:dyDescent="0.25">
      <c r="A12" s="3">
        <v>10</v>
      </c>
      <c r="B12" s="3" t="s">
        <v>54</v>
      </c>
      <c r="C12" s="3" t="s">
        <v>51</v>
      </c>
      <c r="D12" s="3" t="s">
        <v>34</v>
      </c>
      <c r="E12" s="3" t="s">
        <v>35</v>
      </c>
      <c r="F12" s="6">
        <v>1430000</v>
      </c>
      <c r="G12" s="7" t="s">
        <v>62</v>
      </c>
    </row>
    <row r="13" spans="1:7" x14ac:dyDescent="0.25">
      <c r="A13" s="3">
        <v>11</v>
      </c>
      <c r="B13" s="3" t="s">
        <v>55</v>
      </c>
      <c r="C13" s="3" t="s">
        <v>56</v>
      </c>
      <c r="D13" s="3" t="s">
        <v>45</v>
      </c>
      <c r="E13" s="3" t="s">
        <v>35</v>
      </c>
      <c r="F13" s="6">
        <v>1590000</v>
      </c>
      <c r="G13" s="7" t="s">
        <v>60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2025-06-17T03:53:39Z</dcterms:modified>
</cp:coreProperties>
</file>