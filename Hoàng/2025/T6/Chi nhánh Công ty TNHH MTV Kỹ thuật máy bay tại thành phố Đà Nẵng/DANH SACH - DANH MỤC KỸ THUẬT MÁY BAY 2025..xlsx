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2E96EEE3-F441-45C9-ABA6-753284B1333F}" xr6:coauthVersionLast="44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s" sheetId="16" r:id="rId1"/>
    <sheet name="dm" sheetId="18" r:id="rId2"/>
  </sheets>
  <definedNames>
    <definedName name="_xlnm._FilterDatabase" localSheetId="0" hidden="1">ds!$A$1:$H$87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1" i="18" l="1"/>
  <c r="C40" i="18"/>
  <c r="F40" i="18" s="1"/>
  <c r="C39" i="18"/>
  <c r="F39" i="18" s="1"/>
  <c r="F38" i="18"/>
  <c r="F37" i="18"/>
  <c r="F36" i="18"/>
  <c r="F35" i="18"/>
  <c r="C35" i="18"/>
  <c r="F34" i="18"/>
  <c r="C34" i="18"/>
  <c r="F33" i="18"/>
  <c r="C33" i="18"/>
  <c r="F32" i="18"/>
  <c r="C32" i="18"/>
  <c r="F31" i="18"/>
  <c r="C31" i="18"/>
  <c r="F30" i="18"/>
  <c r="C30" i="18"/>
  <c r="F29" i="18"/>
  <c r="C29" i="18"/>
  <c r="F28" i="18"/>
  <c r="C28" i="18"/>
  <c r="F27" i="18"/>
  <c r="C27" i="18"/>
  <c r="F26" i="18"/>
  <c r="C26" i="18"/>
  <c r="F25" i="18"/>
  <c r="C25" i="18"/>
  <c r="F24" i="18"/>
  <c r="C24" i="18"/>
  <c r="F23" i="18"/>
  <c r="C23" i="18"/>
  <c r="F21" i="18"/>
  <c r="F20" i="18"/>
  <c r="F17" i="18"/>
  <c r="C17" i="18"/>
  <c r="F16" i="18"/>
  <c r="C15" i="18"/>
  <c r="F15" i="18" s="1"/>
  <c r="C14" i="18"/>
  <c r="F14" i="18" s="1"/>
  <c r="F5" i="18"/>
  <c r="E5" i="18"/>
  <c r="E41" i="18" s="1"/>
  <c r="D5" i="18"/>
  <c r="C4" i="18"/>
  <c r="F41" i="18" l="1"/>
</calcChain>
</file>

<file path=xl/sharedStrings.xml><?xml version="1.0" encoding="utf-8"?>
<sst xmlns="http://schemas.openxmlformats.org/spreadsheetml/2006/main" count="488" uniqueCount="225">
  <si>
    <t>TT</t>
  </si>
  <si>
    <t>Họ và tên</t>
  </si>
  <si>
    <t>Chức danh</t>
  </si>
  <si>
    <t>Giới tính</t>
  </si>
  <si>
    <t>Khám lần 1</t>
  </si>
  <si>
    <t>Khám chuyên  khoa nữ</t>
  </si>
  <si>
    <t>Nguyễn Minh Lượng</t>
  </si>
  <si>
    <t>Giám đốc</t>
  </si>
  <si>
    <t>Nam</t>
  </si>
  <si>
    <t>x</t>
  </si>
  <si>
    <t>Trần Thị Phương Hoa</t>
  </si>
  <si>
    <t>Trưởng phòng</t>
  </si>
  <si>
    <t>Nữ</t>
  </si>
  <si>
    <t>Triệu Thị Minh Hiền</t>
  </si>
  <si>
    <t>Phó Trưởng phòng</t>
  </si>
  <si>
    <t>Lưu Phương Hải</t>
  </si>
  <si>
    <t>Chuyên viên</t>
  </si>
  <si>
    <t>Lê Phan Ngọc Hà</t>
  </si>
  <si>
    <t>Mai Thị Thu Phương</t>
  </si>
  <si>
    <t>Hồ Thức Phương</t>
  </si>
  <si>
    <t>Nhân viên</t>
  </si>
  <si>
    <t>Lê Huyền Trâm</t>
  </si>
  <si>
    <t>Nguyễn Thị Bích Ngọc</t>
  </si>
  <si>
    <t>Lê Thị Cẩm Vân</t>
  </si>
  <si>
    <t>Hà Phước Huy Hoàng</t>
  </si>
  <si>
    <t>Đội trưởng</t>
  </si>
  <si>
    <t>Hồ Đắc Xuân Tùng</t>
  </si>
  <si>
    <t>Kỹ sư</t>
  </si>
  <si>
    <t>Nguyễn Đức Hùng</t>
  </si>
  <si>
    <t>Tổ trưởng</t>
  </si>
  <si>
    <t>Phan Tôn Hoàng</t>
  </si>
  <si>
    <t>Lê Vũ Ngọc Thành</t>
  </si>
  <si>
    <t>Trà Thanh Hưng</t>
  </si>
  <si>
    <t>Nguyễn Văn Bình</t>
  </si>
  <si>
    <t>Nguyễn Trung Hiếu</t>
  </si>
  <si>
    <t>Huỳnh Nhật Minh</t>
  </si>
  <si>
    <t>Nguyễn Quang Trung</t>
  </si>
  <si>
    <t>Phạm Tấn Quang</t>
  </si>
  <si>
    <t>Phạm Trung Sơn</t>
  </si>
  <si>
    <t>Hà Phước Anh Huy</t>
  </si>
  <si>
    <t>Nguyễn Tiến Hoàng</t>
  </si>
  <si>
    <t>Lê Đình Tiên</t>
  </si>
  <si>
    <t>Huỳnh Nguyễn Thế Huy</t>
  </si>
  <si>
    <t>Lê Phú Sinh</t>
  </si>
  <si>
    <t>Nguyễn Văn Thành</t>
  </si>
  <si>
    <t>Trương Sơn Hòa</t>
  </si>
  <si>
    <t>Đoàn Quốc Thịnh</t>
  </si>
  <si>
    <t>Trịnh Duy Khánh</t>
  </si>
  <si>
    <t>Đặng Ngọc Kim</t>
  </si>
  <si>
    <t>Vũ Ngọc Kiên</t>
  </si>
  <si>
    <t>Võ Ngọc Tú</t>
  </si>
  <si>
    <t>Lê Hoài Vũ</t>
  </si>
  <si>
    <t>Ngô Quốc Duy</t>
  </si>
  <si>
    <t>Vũ Anh Tuấn</t>
  </si>
  <si>
    <t>Lê Xuân Tân</t>
  </si>
  <si>
    <t>Trần Phan Thiên Giang</t>
  </si>
  <si>
    <t>Nguyễn Quốc Tự Tin</t>
  </si>
  <si>
    <t>Kỹ sư máy bay</t>
  </si>
  <si>
    <t>Bùi Tấn Trí</t>
  </si>
  <si>
    <t>Phạm Xuân Bá</t>
  </si>
  <si>
    <t>Nguyễn Hải Châu</t>
  </si>
  <si>
    <t>Lê Chí Thanh</t>
  </si>
  <si>
    <t>Lê Thái Hồng Vinh</t>
  </si>
  <si>
    <t>Phạm Trọng</t>
  </si>
  <si>
    <t>Đỗ Quốc Cường</t>
  </si>
  <si>
    <t>Nguyễn Thanh Long</t>
  </si>
  <si>
    <t>Nguyễn Hải Long</t>
  </si>
  <si>
    <t>Huỳnh Công Phong</t>
  </si>
  <si>
    <t>Võ Anh Minh</t>
  </si>
  <si>
    <t>Hồ Đức Tâm</t>
  </si>
  <si>
    <t>Thợ máy bay chuyên ngành cơ giới</t>
  </si>
  <si>
    <t>Vũ Hồng Khoa Long</t>
  </si>
  <si>
    <t>Chu Đình Hoàng</t>
  </si>
  <si>
    <t>Trần Quốc Toản</t>
  </si>
  <si>
    <t>Phan Xuân Dũng</t>
  </si>
  <si>
    <t>Ngô Đức Thắng</t>
  </si>
  <si>
    <t>Phan Anh Tuấn</t>
  </si>
  <si>
    <t>Thái Xuân Thắng</t>
  </si>
  <si>
    <t>Lê Xuân Linh</t>
  </si>
  <si>
    <t>Nguyễn Văn Nam</t>
  </si>
  <si>
    <t>Lê Quang Việt</t>
  </si>
  <si>
    <t>Đặng Hoàng Vũ</t>
  </si>
  <si>
    <t>Phan Trung Thành</t>
  </si>
  <si>
    <t>Nguyễn Quang Long</t>
  </si>
  <si>
    <t>Mai Lê Dương</t>
  </si>
  <si>
    <t>Trần Ngọc Linh</t>
  </si>
  <si>
    <t>Trần Kế Tường</t>
  </si>
  <si>
    <t>Đào Ngọc Linh</t>
  </si>
  <si>
    <t>Trần Đỗ Phước Hưng</t>
  </si>
  <si>
    <t>Đặng Thái Sơn</t>
  </si>
  <si>
    <t>Nguyễn Hoàng Vũ</t>
  </si>
  <si>
    <t>Lê Huy Hoàng</t>
  </si>
  <si>
    <t>Nguyễn Quang Trí</t>
  </si>
  <si>
    <t>Lê Minh Phương</t>
  </si>
  <si>
    <t>Phạm Bảo Quốc</t>
  </si>
  <si>
    <t>Nguyễn Hà Trung</t>
  </si>
  <si>
    <t>Trần Thị Thêm</t>
  </si>
  <si>
    <t>Lê Quỳnh Trang</t>
  </si>
  <si>
    <t>Phan Thanh Hải</t>
  </si>
  <si>
    <t>Lê Cao Thành</t>
  </si>
  <si>
    <t>Nguyễn Thị Khánh Hoa</t>
  </si>
  <si>
    <t>Mai Thị Lan Anh</t>
  </si>
  <si>
    <t>KTMB001</t>
  </si>
  <si>
    <t>KTMB002</t>
  </si>
  <si>
    <t>KTMB003</t>
  </si>
  <si>
    <t>KTMB004</t>
  </si>
  <si>
    <t>KTMB005</t>
  </si>
  <si>
    <t>KTMB006</t>
  </si>
  <si>
    <t>KTMB007</t>
  </si>
  <si>
    <t>KTMB008</t>
  </si>
  <si>
    <t>KTMB009</t>
  </si>
  <si>
    <t>KTMB010</t>
  </si>
  <si>
    <t>KTMB011</t>
  </si>
  <si>
    <t>KTMB012</t>
  </si>
  <si>
    <t>KTMB013</t>
  </si>
  <si>
    <t>KTMB014</t>
  </si>
  <si>
    <t>KTMB015</t>
  </si>
  <si>
    <t>KTMB016</t>
  </si>
  <si>
    <t>KTMB017</t>
  </si>
  <si>
    <t>KTMB018</t>
  </si>
  <si>
    <t>KTMB019</t>
  </si>
  <si>
    <t>KTMB020</t>
  </si>
  <si>
    <t>KTMB021</t>
  </si>
  <si>
    <t>KTMB022</t>
  </si>
  <si>
    <t>KTMB023</t>
  </si>
  <si>
    <t>KTMB024</t>
  </si>
  <si>
    <t>KTMB025</t>
  </si>
  <si>
    <t>KTMB026</t>
  </si>
  <si>
    <t>KTMB027</t>
  </si>
  <si>
    <t>KTMB028</t>
  </si>
  <si>
    <t>KTMB029</t>
  </si>
  <si>
    <t>KTMB030</t>
  </si>
  <si>
    <t>KTMB031</t>
  </si>
  <si>
    <t>KTMB032</t>
  </si>
  <si>
    <t>KTMB033</t>
  </si>
  <si>
    <t>KTMB034</t>
  </si>
  <si>
    <t>KTMB035</t>
  </si>
  <si>
    <t>KTMB036</t>
  </si>
  <si>
    <t>KTMB037</t>
  </si>
  <si>
    <t>KTMB038</t>
  </si>
  <si>
    <t>KTMB039</t>
  </si>
  <si>
    <t>KTMB040</t>
  </si>
  <si>
    <t>KTMB041</t>
  </si>
  <si>
    <t>KTMB042</t>
  </si>
  <si>
    <t>KTMB043</t>
  </si>
  <si>
    <t>KTMB044</t>
  </si>
  <si>
    <t>KTMB045</t>
  </si>
  <si>
    <t>KTMB046</t>
  </si>
  <si>
    <t>KTMB047</t>
  </si>
  <si>
    <t>KTMB048</t>
  </si>
  <si>
    <t>KTMB049</t>
  </si>
  <si>
    <t>KTMB050</t>
  </si>
  <si>
    <t>KTMB051</t>
  </si>
  <si>
    <t>KTMB052</t>
  </si>
  <si>
    <t>KTMB053</t>
  </si>
  <si>
    <t>KTMB054</t>
  </si>
  <si>
    <t>KTMB055</t>
  </si>
  <si>
    <t>KTMB056</t>
  </si>
  <si>
    <t>KTMB057</t>
  </si>
  <si>
    <t>KTMB058</t>
  </si>
  <si>
    <t>KTMB059</t>
  </si>
  <si>
    <t>KTMB060</t>
  </si>
  <si>
    <t>KTMB061</t>
  </si>
  <si>
    <t>KTMB062</t>
  </si>
  <si>
    <t>KTMB063</t>
  </si>
  <si>
    <t>KTMB064</t>
  </si>
  <si>
    <t>KTMB065</t>
  </si>
  <si>
    <t>KTMB066</t>
  </si>
  <si>
    <t>KTMB067</t>
  </si>
  <si>
    <t>KTMB068</t>
  </si>
  <si>
    <t>KTMB069</t>
  </si>
  <si>
    <t>KTMB070</t>
  </si>
  <si>
    <t>Năm sinh</t>
  </si>
  <si>
    <t>Nguyễn Quang Trung.</t>
  </si>
  <si>
    <t>Trần Ngọc Linh.</t>
  </si>
  <si>
    <t>Vũ Anh Tuấn.</t>
  </si>
  <si>
    <t>A. KHÁM ĐỢT 1</t>
  </si>
  <si>
    <t>STT</t>
  </si>
  <si>
    <t>Danh mục thực hiện khám và xét nghiệm</t>
  </si>
  <si>
    <t>Số lượng</t>
  </si>
  <si>
    <t>Gói Nữ 
(12 người)</t>
  </si>
  <si>
    <t>Gói Nam (74 người)</t>
  </si>
  <si>
    <t xml:space="preserve">Thành tiền (VNĐ) </t>
  </si>
  <si>
    <t xml:space="preserve">I </t>
  </si>
  <si>
    <t>KHÁM LÂM SÀNG</t>
  </si>
  <si>
    <t xml:space="preserve">Tổng hợp hồ sơ sức khỏe </t>
  </si>
  <si>
    <t>Ưu đãi</t>
  </si>
  <si>
    <r>
      <t xml:space="preserve">Khám lâm sàng </t>
    </r>
    <r>
      <rPr>
        <i/>
        <sz val="16"/>
        <color rgb="FF000000"/>
        <rFont val="Times New Roman"/>
        <family val="1"/>
      </rPr>
      <t>(khám nội, tai mũi họng, mắt, răng hàm mặt)</t>
    </r>
  </si>
  <si>
    <t>Bệnh sử</t>
  </si>
  <si>
    <t>Khám nội tổng quát</t>
  </si>
  <si>
    <t xml:space="preserve">Hô hấp </t>
  </si>
  <si>
    <t xml:space="preserve">Tim mạch </t>
  </si>
  <si>
    <t>Kiểm tra thị lực/ Khám CK mắt</t>
  </si>
  <si>
    <t xml:space="preserve">Khám Răng hàm mặt </t>
  </si>
  <si>
    <t xml:space="preserve">Khám và Nội soi Tai mũi họng </t>
  </si>
  <si>
    <t>Khám ngoại, da liễu</t>
  </si>
  <si>
    <t xml:space="preserve">X-quang tim phổi thẳng kỹ thuật số </t>
  </si>
  <si>
    <r>
      <t xml:space="preserve">Siêu âm ổ bụng </t>
    </r>
    <r>
      <rPr>
        <i/>
        <sz val="16"/>
        <color rgb="FF000000"/>
        <rFont val="Times New Roman"/>
        <family val="1"/>
      </rPr>
      <t>(gan, thận, lách, bàng quang...)</t>
    </r>
  </si>
  <si>
    <t>Siêu âm tuyến giáp</t>
  </si>
  <si>
    <t>Đo điện tim đồ</t>
  </si>
  <si>
    <t>Khám phụ khoa bằng dụng cụ khám 01 lần</t>
  </si>
  <si>
    <t>Định lượng Can xi ion tự do trong máu</t>
  </si>
  <si>
    <t xml:space="preserve">Siêu âm tuyến vú </t>
  </si>
  <si>
    <r>
      <t>Siêu âm tử cung- phần phụ</t>
    </r>
    <r>
      <rPr>
        <i/>
        <sz val="16"/>
        <color rgb="FF000000"/>
        <rFont val="Times New Roman"/>
        <family val="1"/>
      </rPr>
      <t xml:space="preserve"> (qua đầu dò âm đạo với nữ đã lập gia đình</t>
    </r>
    <r>
      <rPr>
        <sz val="16"/>
        <color rgb="FF000000"/>
        <rFont val="Times New Roman"/>
        <family val="1"/>
      </rPr>
      <t>)</t>
    </r>
  </si>
  <si>
    <t>II</t>
  </si>
  <si>
    <t>XÉT NGHIỆM</t>
  </si>
  <si>
    <t xml:space="preserve">XN công thức máu </t>
  </si>
  <si>
    <t>XN đường máu</t>
  </si>
  <si>
    <t xml:space="preserve">XN Tổng phân tích nước tiểu </t>
  </si>
  <si>
    <t>XN Acid Uric</t>
  </si>
  <si>
    <t xml:space="preserve">XN Cholesterol </t>
  </si>
  <si>
    <t xml:space="preserve">XN Triglyceride </t>
  </si>
  <si>
    <t xml:space="preserve">XN LDL-Cholesterol </t>
  </si>
  <si>
    <t>XN HDL-Cholesterol</t>
  </si>
  <si>
    <t xml:space="preserve">XN Ure huyết </t>
  </si>
  <si>
    <t>XN Creatinin huyết</t>
  </si>
  <si>
    <t>XN SGOT</t>
  </si>
  <si>
    <t xml:space="preserve">XN SGPT </t>
  </si>
  <si>
    <t>XN GGT</t>
  </si>
  <si>
    <t>Siêu âm động mạch cảnh, đốt sống</t>
  </si>
  <si>
    <t xml:space="preserve">Soi dịch âm đạo </t>
  </si>
  <si>
    <t>Chẩn đoán ung thư sớm cổ tử cung (Pap Smear)</t>
  </si>
  <si>
    <t>Tầm soát ung thư gan AFP</t>
  </si>
  <si>
    <t>Tầm soát ung thư phổi Cyfra 21-1</t>
  </si>
  <si>
    <t>Tổng tiền khám đợt 1 (VNĐ): 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</si>
</sst>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i/>
      <sz val="1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center"/>
    </xf>
    <xf numFmtId="0" fontId="1" fillId="0" borderId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6" fillId="0" borderId="1" xfId="9" applyFont="1" applyBorder="1" applyAlignment="1">
      <alignment horizontal="center" vertical="center" wrapText="1"/>
    </xf>
    <xf numFmtId="0" fontId="5" fillId="0" borderId="1" xfId="9" applyFont="1" applyBorder="1" applyAlignment="1">
      <alignment horizontal="center" vertical="center"/>
    </xf>
    <xf numFmtId="0" fontId="5" fillId="0" borderId="1" xfId="9" applyFont="1" applyBorder="1"/>
    <xf numFmtId="0" fontId="5" fillId="2" borderId="1" xfId="9" applyFont="1" applyFill="1" applyBorder="1" applyAlignment="1">
      <alignment horizontal="center" vertical="center"/>
    </xf>
    <xf numFmtId="0" fontId="5" fillId="2" borderId="1" xfId="9" applyFont="1" applyFill="1" applyBorder="1"/>
    <xf numFmtId="0" fontId="6" fillId="0" borderId="1" xfId="9" applyNumberFormat="1" applyFont="1" applyBorder="1" applyAlignment="1">
      <alignment horizontal="center" vertical="center" wrapText="1"/>
    </xf>
    <xf numFmtId="0" fontId="5" fillId="0" borderId="1" xfId="9" applyNumberFormat="1" applyFont="1" applyBorder="1" applyAlignment="1">
      <alignment horizontal="center" vertical="center"/>
    </xf>
    <xf numFmtId="0" fontId="0" fillId="0" borderId="0" xfId="0" applyNumberFormat="1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10" fillId="2" borderId="1" xfId="10" applyNumberFormat="1" applyFont="1" applyFill="1" applyBorder="1" applyAlignment="1">
      <alignment horizontal="center" vertical="center" wrapText="1"/>
    </xf>
    <xf numFmtId="164" fontId="10" fillId="2" borderId="1" xfId="1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3" fontId="11" fillId="2" borderId="1" xfId="0" applyNumberFormat="1" applyFont="1" applyFill="1" applyBorder="1" applyAlignment="1">
      <alignment horizontal="center" vertical="center"/>
    </xf>
    <xf numFmtId="3" fontId="12" fillId="2" borderId="1" xfId="10" applyNumberFormat="1" applyFont="1" applyFill="1" applyBorder="1" applyAlignment="1">
      <alignment horizontal="center" vertical="center" wrapText="1"/>
    </xf>
    <xf numFmtId="3" fontId="12" fillId="2" borderId="1" xfId="1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3" fontId="12" fillId="0" borderId="1" xfId="1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2" fillId="3" borderId="1" xfId="10" applyNumberFormat="1" applyFont="1" applyFill="1" applyBorder="1" applyAlignment="1">
      <alignment horizontal="center" vertical="center" wrapText="1"/>
    </xf>
  </cellXfs>
  <cellStyles count="11">
    <cellStyle name="Comma" xfId="10" builtinId="3"/>
    <cellStyle name="Comma 2" xfId="6" xr:uid="{559789EF-C115-4BAD-9035-580188C70B87}"/>
    <cellStyle name="Comma 2 2" xfId="8" xr:uid="{A6BC2531-FFC3-4A03-B1C0-E9B88286D04F}"/>
    <cellStyle name="Hyperlink 2" xfId="2" xr:uid="{D1DDF9A9-734A-4365-B2A8-E106E6E35FEA}"/>
    <cellStyle name="Normal" xfId="0" builtinId="0"/>
    <cellStyle name="Normal 2" xfId="1" xr:uid="{00000000-0005-0000-0000-000002000000}"/>
    <cellStyle name="Normal 2 2" xfId="4" xr:uid="{5454D224-987B-4F0C-86A1-5FA585CFFD2C}"/>
    <cellStyle name="Normal 2 3" xfId="7" xr:uid="{3CABAD9C-F7ED-4106-A996-B1D291F2D038}"/>
    <cellStyle name="Normal 3" xfId="5" xr:uid="{089D3DEA-9839-4F5D-BADC-A7FCFFFBEBDC}"/>
    <cellStyle name="Normal 3 2 2 3" xfId="3" xr:uid="{BCA4F80D-112A-4973-8C03-987D27E9C7C0}"/>
    <cellStyle name="Normal 41" xfId="9" xr:uid="{EA6A9FCB-C969-46D3-A706-B9914C31ED9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998A-C8D5-4507-9E91-3CE3AC41D161}">
  <dimension ref="A1:H87"/>
  <sheetViews>
    <sheetView topLeftCell="A16" workbookViewId="0">
      <selection activeCell="G19" sqref="G19"/>
    </sheetView>
  </sheetViews>
  <sheetFormatPr defaultRowHeight="15" x14ac:dyDescent="0.25"/>
  <cols>
    <col min="1" max="1" width="4.7109375" customWidth="1"/>
    <col min="2" max="2" width="10.140625" bestFit="1" customWidth="1"/>
    <col min="3" max="3" width="27" customWidth="1"/>
    <col min="4" max="4" width="31.28515625" bestFit="1" customWidth="1"/>
    <col min="5" max="5" width="10.140625" style="8" customWidth="1"/>
  </cols>
  <sheetData>
    <row r="1" spans="1:8" ht="42.75" x14ac:dyDescent="0.25">
      <c r="A1" s="1" t="s">
        <v>0</v>
      </c>
      <c r="B1" s="1"/>
      <c r="C1" s="1" t="s">
        <v>1</v>
      </c>
      <c r="D1" s="1" t="s">
        <v>2</v>
      </c>
      <c r="E1" s="6" t="s">
        <v>172</v>
      </c>
      <c r="F1" s="1" t="s">
        <v>3</v>
      </c>
      <c r="G1" s="1" t="s">
        <v>4</v>
      </c>
      <c r="H1" s="1" t="s">
        <v>5</v>
      </c>
    </row>
    <row r="2" spans="1:8" x14ac:dyDescent="0.25">
      <c r="A2" s="2">
        <v>1</v>
      </c>
      <c r="B2" s="2"/>
      <c r="C2" s="3" t="s">
        <v>6</v>
      </c>
      <c r="D2" s="3" t="s">
        <v>7</v>
      </c>
      <c r="E2" s="7">
        <v>1970</v>
      </c>
      <c r="F2" s="2" t="s">
        <v>8</v>
      </c>
      <c r="G2" s="2" t="s">
        <v>9</v>
      </c>
      <c r="H2" s="2"/>
    </row>
    <row r="3" spans="1:8" x14ac:dyDescent="0.25">
      <c r="A3" s="2">
        <v>2</v>
      </c>
      <c r="B3" s="2"/>
      <c r="C3" s="3" t="s">
        <v>10</v>
      </c>
      <c r="D3" s="3" t="s">
        <v>11</v>
      </c>
      <c r="E3" s="7">
        <v>1972</v>
      </c>
      <c r="F3" s="2" t="s">
        <v>12</v>
      </c>
      <c r="G3" s="2" t="s">
        <v>9</v>
      </c>
      <c r="H3" s="2" t="s">
        <v>9</v>
      </c>
    </row>
    <row r="4" spans="1:8" x14ac:dyDescent="0.25">
      <c r="A4" s="2">
        <v>3</v>
      </c>
      <c r="B4" s="2"/>
      <c r="C4" s="3" t="s">
        <v>13</v>
      </c>
      <c r="D4" s="3" t="s">
        <v>14</v>
      </c>
      <c r="E4" s="7">
        <v>1982</v>
      </c>
      <c r="F4" s="2" t="s">
        <v>12</v>
      </c>
      <c r="G4" s="2" t="s">
        <v>9</v>
      </c>
      <c r="H4" s="2" t="s">
        <v>9</v>
      </c>
    </row>
    <row r="5" spans="1:8" x14ac:dyDescent="0.25">
      <c r="A5" s="2">
        <v>4</v>
      </c>
      <c r="B5" s="2"/>
      <c r="C5" s="3" t="s">
        <v>15</v>
      </c>
      <c r="D5" s="3" t="s">
        <v>16</v>
      </c>
      <c r="E5" s="7">
        <v>1978</v>
      </c>
      <c r="F5" s="2" t="s">
        <v>12</v>
      </c>
      <c r="G5" s="2" t="s">
        <v>9</v>
      </c>
      <c r="H5" s="2" t="s">
        <v>9</v>
      </c>
    </row>
    <row r="6" spans="1:8" x14ac:dyDescent="0.25">
      <c r="A6" s="2">
        <v>5</v>
      </c>
      <c r="B6" s="2"/>
      <c r="C6" s="3" t="s">
        <v>17</v>
      </c>
      <c r="D6" s="3" t="s">
        <v>16</v>
      </c>
      <c r="E6" s="7">
        <v>1988</v>
      </c>
      <c r="F6" s="2" t="s">
        <v>12</v>
      </c>
      <c r="G6" s="2" t="s">
        <v>9</v>
      </c>
      <c r="H6" s="2" t="s">
        <v>9</v>
      </c>
    </row>
    <row r="7" spans="1:8" x14ac:dyDescent="0.25">
      <c r="A7" s="2">
        <v>6</v>
      </c>
      <c r="B7" s="2"/>
      <c r="C7" s="3" t="s">
        <v>18</v>
      </c>
      <c r="D7" s="3" t="s">
        <v>16</v>
      </c>
      <c r="E7" s="7">
        <v>1986</v>
      </c>
      <c r="F7" s="2" t="s">
        <v>12</v>
      </c>
      <c r="G7" s="2" t="s">
        <v>9</v>
      </c>
      <c r="H7" s="2" t="s">
        <v>9</v>
      </c>
    </row>
    <row r="8" spans="1:8" x14ac:dyDescent="0.25">
      <c r="A8" s="2">
        <v>7</v>
      </c>
      <c r="B8" s="2"/>
      <c r="C8" s="3" t="s">
        <v>19</v>
      </c>
      <c r="D8" s="3" t="s">
        <v>20</v>
      </c>
      <c r="E8" s="7">
        <v>1985</v>
      </c>
      <c r="F8" s="2" t="s">
        <v>8</v>
      </c>
      <c r="G8" s="2" t="s">
        <v>9</v>
      </c>
      <c r="H8" s="2"/>
    </row>
    <row r="9" spans="1:8" x14ac:dyDescent="0.25">
      <c r="A9" s="2">
        <v>8</v>
      </c>
      <c r="B9" s="2"/>
      <c r="C9" s="3" t="s">
        <v>21</v>
      </c>
      <c r="D9" s="3" t="s">
        <v>16</v>
      </c>
      <c r="E9" s="7">
        <v>1982</v>
      </c>
      <c r="F9" s="2" t="s">
        <v>12</v>
      </c>
      <c r="G9" s="2" t="s">
        <v>9</v>
      </c>
      <c r="H9" s="2" t="s">
        <v>9</v>
      </c>
    </row>
    <row r="10" spans="1:8" x14ac:dyDescent="0.25">
      <c r="A10" s="2">
        <v>9</v>
      </c>
      <c r="B10" s="2"/>
      <c r="C10" s="3" t="s">
        <v>22</v>
      </c>
      <c r="D10" s="3" t="s">
        <v>16</v>
      </c>
      <c r="E10" s="7">
        <v>1993</v>
      </c>
      <c r="F10" s="2" t="s">
        <v>12</v>
      </c>
      <c r="G10" s="2" t="s">
        <v>9</v>
      </c>
      <c r="H10" s="2" t="s">
        <v>9</v>
      </c>
    </row>
    <row r="11" spans="1:8" x14ac:dyDescent="0.25">
      <c r="A11" s="2">
        <v>11</v>
      </c>
      <c r="B11" s="2"/>
      <c r="C11" s="3" t="s">
        <v>23</v>
      </c>
      <c r="D11" s="3" t="s">
        <v>20</v>
      </c>
      <c r="E11" s="7">
        <v>1983</v>
      </c>
      <c r="F11" s="2" t="s">
        <v>12</v>
      </c>
      <c r="G11" s="2" t="s">
        <v>9</v>
      </c>
      <c r="H11" s="2" t="s">
        <v>9</v>
      </c>
    </row>
    <row r="12" spans="1:8" x14ac:dyDescent="0.25">
      <c r="A12" s="4">
        <v>12</v>
      </c>
      <c r="B12" s="4" t="s">
        <v>113</v>
      </c>
      <c r="C12" s="5" t="s">
        <v>24</v>
      </c>
      <c r="D12" s="5" t="s">
        <v>25</v>
      </c>
      <c r="E12" s="7">
        <v>1971</v>
      </c>
      <c r="F12" s="4" t="s">
        <v>8</v>
      </c>
      <c r="G12" s="4" t="s">
        <v>9</v>
      </c>
      <c r="H12" s="4"/>
    </row>
    <row r="13" spans="1:8" x14ac:dyDescent="0.25">
      <c r="A13" s="4">
        <v>13</v>
      </c>
      <c r="B13" s="4" t="s">
        <v>108</v>
      </c>
      <c r="C13" s="5" t="s">
        <v>26</v>
      </c>
      <c r="D13" s="5" t="s">
        <v>27</v>
      </c>
      <c r="E13" s="7">
        <v>1991</v>
      </c>
      <c r="F13" s="4" t="s">
        <v>8</v>
      </c>
      <c r="G13" s="4" t="s">
        <v>9</v>
      </c>
      <c r="H13" s="4"/>
    </row>
    <row r="14" spans="1:8" x14ac:dyDescent="0.25">
      <c r="A14" s="4">
        <v>14</v>
      </c>
      <c r="B14" s="4" t="s">
        <v>114</v>
      </c>
      <c r="C14" s="5" t="s">
        <v>28</v>
      </c>
      <c r="D14" s="5" t="s">
        <v>29</v>
      </c>
      <c r="E14" s="7">
        <v>1981</v>
      </c>
      <c r="F14" s="4" t="s">
        <v>8</v>
      </c>
      <c r="G14" s="4" t="s">
        <v>9</v>
      </c>
      <c r="H14" s="4"/>
    </row>
    <row r="15" spans="1:8" x14ac:dyDescent="0.25">
      <c r="A15" s="4">
        <v>15</v>
      </c>
      <c r="B15" s="4" t="s">
        <v>115</v>
      </c>
      <c r="C15" s="5" t="s">
        <v>30</v>
      </c>
      <c r="D15" s="5" t="s">
        <v>27</v>
      </c>
      <c r="E15" s="7">
        <v>1990</v>
      </c>
      <c r="F15" s="4" t="s">
        <v>8</v>
      </c>
      <c r="G15" s="4" t="s">
        <v>9</v>
      </c>
      <c r="H15" s="4"/>
    </row>
    <row r="16" spans="1:8" x14ac:dyDescent="0.25">
      <c r="A16" s="4">
        <v>16</v>
      </c>
      <c r="B16" s="4" t="s">
        <v>116</v>
      </c>
      <c r="C16" s="5" t="s">
        <v>31</v>
      </c>
      <c r="D16" s="5" t="s">
        <v>20</v>
      </c>
      <c r="E16" s="7">
        <v>1985</v>
      </c>
      <c r="F16" s="4" t="s">
        <v>8</v>
      </c>
      <c r="G16" s="4" t="s">
        <v>9</v>
      </c>
      <c r="H16" s="4"/>
    </row>
    <row r="17" spans="1:8" x14ac:dyDescent="0.25">
      <c r="A17" s="4">
        <v>17</v>
      </c>
      <c r="B17" s="4" t="s">
        <v>118</v>
      </c>
      <c r="C17" s="5" t="s">
        <v>32</v>
      </c>
      <c r="D17" s="5" t="s">
        <v>27</v>
      </c>
      <c r="E17" s="7">
        <v>1979</v>
      </c>
      <c r="F17" s="4" t="s">
        <v>8</v>
      </c>
      <c r="G17" s="4" t="s">
        <v>9</v>
      </c>
      <c r="H17" s="4"/>
    </row>
    <row r="18" spans="1:8" x14ac:dyDescent="0.25">
      <c r="A18" s="4">
        <v>18</v>
      </c>
      <c r="B18" s="4" t="s">
        <v>119</v>
      </c>
      <c r="C18" s="5" t="s">
        <v>33</v>
      </c>
      <c r="D18" s="5" t="s">
        <v>20</v>
      </c>
      <c r="E18" s="7">
        <v>1974</v>
      </c>
      <c r="F18" s="4" t="s">
        <v>8</v>
      </c>
      <c r="G18" s="4" t="s">
        <v>9</v>
      </c>
      <c r="H18" s="4"/>
    </row>
    <row r="19" spans="1:8" x14ac:dyDescent="0.25">
      <c r="A19" s="4">
        <v>19</v>
      </c>
      <c r="B19" s="4" t="s">
        <v>120</v>
      </c>
      <c r="C19" s="5" t="s">
        <v>34</v>
      </c>
      <c r="D19" s="5" t="s">
        <v>27</v>
      </c>
      <c r="E19" s="7">
        <v>1992</v>
      </c>
      <c r="F19" s="4" t="s">
        <v>8</v>
      </c>
      <c r="G19" s="4" t="s">
        <v>9</v>
      </c>
      <c r="H19" s="4"/>
    </row>
    <row r="20" spans="1:8" x14ac:dyDescent="0.25">
      <c r="A20" s="4">
        <v>20</v>
      </c>
      <c r="B20" s="4" t="s">
        <v>122</v>
      </c>
      <c r="C20" s="5" t="s">
        <v>35</v>
      </c>
      <c r="D20" s="5" t="s">
        <v>27</v>
      </c>
      <c r="E20" s="7">
        <v>1988</v>
      </c>
      <c r="F20" s="4" t="s">
        <v>8</v>
      </c>
      <c r="G20" s="4" t="s">
        <v>9</v>
      </c>
      <c r="H20" s="4"/>
    </row>
    <row r="21" spans="1:8" x14ac:dyDescent="0.25">
      <c r="A21" s="4">
        <v>21</v>
      </c>
      <c r="B21" s="4" t="s">
        <v>123</v>
      </c>
      <c r="C21" s="5" t="s">
        <v>173</v>
      </c>
      <c r="D21" s="5" t="s">
        <v>27</v>
      </c>
      <c r="E21" s="7">
        <v>1985</v>
      </c>
      <c r="F21" s="4" t="s">
        <v>8</v>
      </c>
      <c r="G21" s="4" t="s">
        <v>9</v>
      </c>
      <c r="H21" s="4"/>
    </row>
    <row r="22" spans="1:8" x14ac:dyDescent="0.25">
      <c r="A22" s="4">
        <v>22</v>
      </c>
      <c r="B22" s="4" t="s">
        <v>124</v>
      </c>
      <c r="C22" s="5" t="s">
        <v>37</v>
      </c>
      <c r="D22" s="5" t="s">
        <v>27</v>
      </c>
      <c r="E22" s="7">
        <v>1977</v>
      </c>
      <c r="F22" s="4" t="s">
        <v>8</v>
      </c>
      <c r="G22" s="4" t="s">
        <v>9</v>
      </c>
      <c r="H22" s="4"/>
    </row>
    <row r="23" spans="1:8" x14ac:dyDescent="0.25">
      <c r="A23" s="4">
        <v>23</v>
      </c>
      <c r="B23" s="4" t="s">
        <v>125</v>
      </c>
      <c r="C23" s="5" t="s">
        <v>38</v>
      </c>
      <c r="D23" s="5" t="s">
        <v>27</v>
      </c>
      <c r="E23" s="7">
        <v>1995</v>
      </c>
      <c r="F23" s="4" t="s">
        <v>8</v>
      </c>
      <c r="G23" s="4" t="s">
        <v>9</v>
      </c>
      <c r="H23" s="4"/>
    </row>
    <row r="24" spans="1:8" x14ac:dyDescent="0.25">
      <c r="A24" s="4">
        <v>24</v>
      </c>
      <c r="B24" s="4" t="s">
        <v>129</v>
      </c>
      <c r="C24" s="5" t="s">
        <v>39</v>
      </c>
      <c r="D24" s="5" t="s">
        <v>27</v>
      </c>
      <c r="E24" s="7">
        <v>2000</v>
      </c>
      <c r="F24" s="4" t="s">
        <v>8</v>
      </c>
      <c r="G24" s="4" t="s">
        <v>9</v>
      </c>
      <c r="H24" s="4"/>
    </row>
    <row r="25" spans="1:8" x14ac:dyDescent="0.25">
      <c r="A25" s="4">
        <v>25</v>
      </c>
      <c r="B25" s="4" t="s">
        <v>171</v>
      </c>
      <c r="C25" s="5" t="s">
        <v>40</v>
      </c>
      <c r="D25" s="5" t="s">
        <v>20</v>
      </c>
      <c r="E25" s="7">
        <v>1998</v>
      </c>
      <c r="F25" s="4" t="s">
        <v>8</v>
      </c>
      <c r="G25" s="4" t="s">
        <v>9</v>
      </c>
      <c r="H25" s="4"/>
    </row>
    <row r="26" spans="1:8" x14ac:dyDescent="0.25">
      <c r="A26" s="4">
        <v>26</v>
      </c>
      <c r="B26" s="4" t="s">
        <v>147</v>
      </c>
      <c r="C26" s="5" t="s">
        <v>41</v>
      </c>
      <c r="D26" s="5" t="s">
        <v>20</v>
      </c>
      <c r="E26" s="7">
        <v>1982</v>
      </c>
      <c r="F26" s="4" t="s">
        <v>8</v>
      </c>
      <c r="G26" s="4" t="s">
        <v>9</v>
      </c>
      <c r="H26" s="4"/>
    </row>
    <row r="27" spans="1:8" x14ac:dyDescent="0.25">
      <c r="A27" s="4">
        <v>27</v>
      </c>
      <c r="B27" s="4" t="s">
        <v>150</v>
      </c>
      <c r="C27" s="5" t="s">
        <v>42</v>
      </c>
      <c r="D27" s="5" t="s">
        <v>27</v>
      </c>
      <c r="E27" s="7">
        <v>1999</v>
      </c>
      <c r="F27" s="4" t="s">
        <v>8</v>
      </c>
      <c r="G27" s="4" t="s">
        <v>9</v>
      </c>
      <c r="H27" s="4"/>
    </row>
    <row r="28" spans="1:8" x14ac:dyDescent="0.25">
      <c r="A28" s="4">
        <v>28</v>
      </c>
      <c r="B28" s="4" t="s">
        <v>117</v>
      </c>
      <c r="C28" s="5" t="s">
        <v>43</v>
      </c>
      <c r="D28" s="5" t="s">
        <v>20</v>
      </c>
      <c r="E28" s="7">
        <v>1967</v>
      </c>
      <c r="F28" s="4" t="s">
        <v>8</v>
      </c>
      <c r="G28" s="4" t="s">
        <v>9</v>
      </c>
      <c r="H28" s="4"/>
    </row>
    <row r="29" spans="1:8" x14ac:dyDescent="0.25">
      <c r="A29" s="4">
        <v>29</v>
      </c>
      <c r="B29" s="4" t="s">
        <v>121</v>
      </c>
      <c r="C29" s="5" t="s">
        <v>44</v>
      </c>
      <c r="D29" s="5" t="s">
        <v>27</v>
      </c>
      <c r="E29" s="7">
        <v>1990</v>
      </c>
      <c r="F29" s="4" t="s">
        <v>8</v>
      </c>
      <c r="G29" s="4" t="s">
        <v>9</v>
      </c>
      <c r="H29" s="4"/>
    </row>
    <row r="30" spans="1:8" x14ac:dyDescent="0.25">
      <c r="A30" s="4">
        <v>30</v>
      </c>
      <c r="B30" s="4" t="s">
        <v>126</v>
      </c>
      <c r="C30" s="5" t="s">
        <v>45</v>
      </c>
      <c r="D30" s="5" t="s">
        <v>29</v>
      </c>
      <c r="E30" s="7">
        <v>1981</v>
      </c>
      <c r="F30" s="4" t="s">
        <v>8</v>
      </c>
      <c r="G30" s="4" t="s">
        <v>9</v>
      </c>
      <c r="H30" s="4"/>
    </row>
    <row r="31" spans="1:8" x14ac:dyDescent="0.25">
      <c r="A31" s="4">
        <v>31</v>
      </c>
      <c r="B31" s="4" t="s">
        <v>127</v>
      </c>
      <c r="C31" s="5" t="s">
        <v>46</v>
      </c>
      <c r="D31" s="5" t="s">
        <v>27</v>
      </c>
      <c r="E31" s="7">
        <v>1991</v>
      </c>
      <c r="F31" s="4" t="s">
        <v>8</v>
      </c>
      <c r="G31" s="4" t="s">
        <v>9</v>
      </c>
      <c r="H31" s="4"/>
    </row>
    <row r="32" spans="1:8" x14ac:dyDescent="0.25">
      <c r="A32" s="4">
        <v>32</v>
      </c>
      <c r="B32" s="4" t="s">
        <v>128</v>
      </c>
      <c r="C32" s="5" t="s">
        <v>47</v>
      </c>
      <c r="D32" s="5" t="s">
        <v>20</v>
      </c>
      <c r="E32" s="7">
        <v>1983</v>
      </c>
      <c r="F32" s="4" t="s">
        <v>8</v>
      </c>
      <c r="G32" s="4" t="s">
        <v>9</v>
      </c>
      <c r="H32" s="4"/>
    </row>
    <row r="33" spans="1:8" x14ac:dyDescent="0.25">
      <c r="A33" s="4">
        <v>33</v>
      </c>
      <c r="B33" s="4" t="s">
        <v>132</v>
      </c>
      <c r="C33" s="5" t="s">
        <v>48</v>
      </c>
      <c r="D33" s="5" t="s">
        <v>20</v>
      </c>
      <c r="E33" s="7">
        <v>1984</v>
      </c>
      <c r="F33" s="4" t="s">
        <v>8</v>
      </c>
      <c r="G33" s="4" t="s">
        <v>9</v>
      </c>
      <c r="H33" s="4"/>
    </row>
    <row r="34" spans="1:8" x14ac:dyDescent="0.25">
      <c r="A34" s="4">
        <v>34</v>
      </c>
      <c r="B34" s="4" t="s">
        <v>133</v>
      </c>
      <c r="C34" s="5" t="s">
        <v>49</v>
      </c>
      <c r="D34" s="5" t="s">
        <v>27</v>
      </c>
      <c r="E34" s="7">
        <v>1980</v>
      </c>
      <c r="F34" s="4" t="s">
        <v>8</v>
      </c>
      <c r="G34" s="4" t="s">
        <v>9</v>
      </c>
      <c r="H34" s="4"/>
    </row>
    <row r="35" spans="1:8" x14ac:dyDescent="0.25">
      <c r="A35" s="4">
        <v>35</v>
      </c>
      <c r="B35" s="4" t="s">
        <v>134</v>
      </c>
      <c r="C35" s="5" t="s">
        <v>50</v>
      </c>
      <c r="D35" s="5" t="s">
        <v>27</v>
      </c>
      <c r="E35" s="7">
        <v>1984</v>
      </c>
      <c r="F35" s="4" t="s">
        <v>8</v>
      </c>
      <c r="G35" s="4" t="s">
        <v>9</v>
      </c>
      <c r="H35" s="4"/>
    </row>
    <row r="36" spans="1:8" x14ac:dyDescent="0.25">
      <c r="A36" s="4">
        <v>36</v>
      </c>
      <c r="B36" s="4" t="s">
        <v>103</v>
      </c>
      <c r="C36" s="5" t="s">
        <v>51</v>
      </c>
      <c r="D36" s="5" t="s">
        <v>20</v>
      </c>
      <c r="E36" s="7">
        <v>1982</v>
      </c>
      <c r="F36" s="4" t="s">
        <v>8</v>
      </c>
      <c r="G36" s="4" t="s">
        <v>9</v>
      </c>
      <c r="H36" s="4"/>
    </row>
    <row r="37" spans="1:8" x14ac:dyDescent="0.25">
      <c r="A37" s="4">
        <v>37</v>
      </c>
      <c r="B37" s="4" t="s">
        <v>136</v>
      </c>
      <c r="C37" s="5" t="s">
        <v>52</v>
      </c>
      <c r="D37" s="5" t="s">
        <v>27</v>
      </c>
      <c r="E37" s="7">
        <v>1982</v>
      </c>
      <c r="F37" s="4" t="s">
        <v>8</v>
      </c>
      <c r="G37" s="4" t="s">
        <v>9</v>
      </c>
      <c r="H37" s="4"/>
    </row>
    <row r="38" spans="1:8" x14ac:dyDescent="0.25">
      <c r="A38" s="4">
        <v>38</v>
      </c>
      <c r="B38" s="4" t="s">
        <v>138</v>
      </c>
      <c r="C38" s="5" t="s">
        <v>175</v>
      </c>
      <c r="D38" s="5" t="s">
        <v>20</v>
      </c>
      <c r="E38" s="7">
        <v>1990</v>
      </c>
      <c r="F38" s="4" t="s">
        <v>8</v>
      </c>
      <c r="G38" s="4" t="s">
        <v>9</v>
      </c>
      <c r="H38" s="4"/>
    </row>
    <row r="39" spans="1:8" x14ac:dyDescent="0.25">
      <c r="A39" s="4">
        <v>39</v>
      </c>
      <c r="B39" s="4" t="s">
        <v>168</v>
      </c>
      <c r="C39" s="5" t="s">
        <v>54</v>
      </c>
      <c r="D39" s="5" t="s">
        <v>20</v>
      </c>
      <c r="E39" s="7">
        <v>1991</v>
      </c>
      <c r="F39" s="4" t="s">
        <v>8</v>
      </c>
      <c r="G39" s="4" t="s">
        <v>9</v>
      </c>
      <c r="H39" s="4"/>
    </row>
    <row r="40" spans="1:8" x14ac:dyDescent="0.25">
      <c r="A40" s="4">
        <v>40</v>
      </c>
      <c r="B40" s="4" t="s">
        <v>144</v>
      </c>
      <c r="C40" s="5" t="s">
        <v>55</v>
      </c>
      <c r="D40" s="5" t="s">
        <v>27</v>
      </c>
      <c r="E40" s="7">
        <v>1987</v>
      </c>
      <c r="F40" s="4" t="s">
        <v>8</v>
      </c>
      <c r="G40" s="4" t="s">
        <v>9</v>
      </c>
      <c r="H40" s="4"/>
    </row>
    <row r="41" spans="1:8" x14ac:dyDescent="0.25">
      <c r="A41" s="4">
        <v>41</v>
      </c>
      <c r="B41" s="4"/>
      <c r="C41" s="5" t="s">
        <v>56</v>
      </c>
      <c r="D41" s="5" t="s">
        <v>57</v>
      </c>
      <c r="E41" s="7">
        <v>2001</v>
      </c>
      <c r="F41" s="4" t="s">
        <v>8</v>
      </c>
      <c r="G41" s="4" t="s">
        <v>9</v>
      </c>
      <c r="H41" s="4"/>
    </row>
    <row r="42" spans="1:8" x14ac:dyDescent="0.25">
      <c r="A42" s="4">
        <v>42</v>
      </c>
      <c r="B42" s="4" t="s">
        <v>102</v>
      </c>
      <c r="C42" s="5" t="s">
        <v>58</v>
      </c>
      <c r="D42" s="5" t="s">
        <v>27</v>
      </c>
      <c r="E42" s="7">
        <v>1990</v>
      </c>
      <c r="F42" s="4" t="s">
        <v>8</v>
      </c>
      <c r="G42" s="4" t="s">
        <v>9</v>
      </c>
      <c r="H42" s="4"/>
    </row>
    <row r="43" spans="1:8" x14ac:dyDescent="0.25">
      <c r="A43" s="4">
        <v>43</v>
      </c>
      <c r="B43" s="4" t="s">
        <v>135</v>
      </c>
      <c r="C43" s="5" t="s">
        <v>59</v>
      </c>
      <c r="D43" s="5" t="s">
        <v>27</v>
      </c>
      <c r="E43" s="7">
        <v>1983</v>
      </c>
      <c r="F43" s="4" t="s">
        <v>8</v>
      </c>
      <c r="G43" s="4" t="s">
        <v>9</v>
      </c>
      <c r="H43" s="4"/>
    </row>
    <row r="44" spans="1:8" x14ac:dyDescent="0.25">
      <c r="A44" s="4">
        <v>44</v>
      </c>
      <c r="B44" s="4" t="s">
        <v>139</v>
      </c>
      <c r="C44" s="5" t="s">
        <v>53</v>
      </c>
      <c r="D44" s="5" t="s">
        <v>20</v>
      </c>
      <c r="E44" s="7">
        <v>1984</v>
      </c>
      <c r="F44" s="4" t="s">
        <v>8</v>
      </c>
      <c r="G44" s="4" t="s">
        <v>9</v>
      </c>
      <c r="H44" s="4"/>
    </row>
    <row r="45" spans="1:8" x14ac:dyDescent="0.25">
      <c r="A45" s="4">
        <v>45</v>
      </c>
      <c r="B45" s="4" t="s">
        <v>140</v>
      </c>
      <c r="C45" s="5" t="s">
        <v>60</v>
      </c>
      <c r="D45" s="5" t="s">
        <v>27</v>
      </c>
      <c r="E45" s="7">
        <v>1985</v>
      </c>
      <c r="F45" s="4" t="s">
        <v>8</v>
      </c>
      <c r="G45" s="4" t="s">
        <v>9</v>
      </c>
      <c r="H45" s="4"/>
    </row>
    <row r="46" spans="1:8" x14ac:dyDescent="0.25">
      <c r="A46" s="4">
        <v>46</v>
      </c>
      <c r="B46" s="4" t="s">
        <v>141</v>
      </c>
      <c r="C46" s="5" t="s">
        <v>61</v>
      </c>
      <c r="D46" s="5" t="s">
        <v>27</v>
      </c>
      <c r="E46" s="7">
        <v>1986</v>
      </c>
      <c r="F46" s="4" t="s">
        <v>8</v>
      </c>
      <c r="G46" s="4" t="s">
        <v>9</v>
      </c>
      <c r="H46" s="4"/>
    </row>
    <row r="47" spans="1:8" x14ac:dyDescent="0.25">
      <c r="A47" s="4">
        <v>47</v>
      </c>
      <c r="B47" s="4" t="s">
        <v>142</v>
      </c>
      <c r="C47" s="5" t="s">
        <v>62</v>
      </c>
      <c r="D47" s="5" t="s">
        <v>29</v>
      </c>
      <c r="E47" s="7">
        <v>1986</v>
      </c>
      <c r="F47" s="4" t="s">
        <v>8</v>
      </c>
      <c r="G47" s="4" t="s">
        <v>9</v>
      </c>
      <c r="H47" s="4"/>
    </row>
    <row r="48" spans="1:8" x14ac:dyDescent="0.25">
      <c r="A48" s="4">
        <v>48</v>
      </c>
      <c r="B48" s="4" t="s">
        <v>169</v>
      </c>
      <c r="C48" s="5" t="s">
        <v>63</v>
      </c>
      <c r="D48" s="5" t="s">
        <v>20</v>
      </c>
      <c r="E48" s="7">
        <v>1990</v>
      </c>
      <c r="F48" s="4" t="s">
        <v>8</v>
      </c>
      <c r="G48" s="4" t="s">
        <v>9</v>
      </c>
      <c r="H48" s="4"/>
    </row>
    <row r="49" spans="1:8" x14ac:dyDescent="0.25">
      <c r="A49" s="4">
        <v>49</v>
      </c>
      <c r="B49" s="4" t="s">
        <v>145</v>
      </c>
      <c r="C49" s="5" t="s">
        <v>64</v>
      </c>
      <c r="D49" s="5" t="s">
        <v>20</v>
      </c>
      <c r="E49" s="7">
        <v>1988</v>
      </c>
      <c r="F49" s="4" t="s">
        <v>8</v>
      </c>
      <c r="G49" s="4" t="s">
        <v>9</v>
      </c>
      <c r="H49" s="4"/>
    </row>
    <row r="50" spans="1:8" x14ac:dyDescent="0.25">
      <c r="A50" s="4">
        <v>50</v>
      </c>
      <c r="B50" s="4" t="s">
        <v>146</v>
      </c>
      <c r="C50" s="5" t="s">
        <v>36</v>
      </c>
      <c r="D50" s="5" t="s">
        <v>20</v>
      </c>
      <c r="E50" s="7">
        <v>1971</v>
      </c>
      <c r="F50" s="4" t="s">
        <v>8</v>
      </c>
      <c r="G50" s="4" t="s">
        <v>9</v>
      </c>
      <c r="H50" s="4"/>
    </row>
    <row r="51" spans="1:8" x14ac:dyDescent="0.25">
      <c r="A51" s="4">
        <v>51</v>
      </c>
      <c r="B51" s="4" t="s">
        <v>148</v>
      </c>
      <c r="C51" s="5" t="s">
        <v>65</v>
      </c>
      <c r="D51" s="5" t="s">
        <v>20</v>
      </c>
      <c r="E51" s="7">
        <v>1981</v>
      </c>
      <c r="F51" s="4" t="s">
        <v>8</v>
      </c>
      <c r="G51" s="4" t="s">
        <v>9</v>
      </c>
      <c r="H51" s="4"/>
    </row>
    <row r="52" spans="1:8" x14ac:dyDescent="0.25">
      <c r="A52" s="4">
        <v>52</v>
      </c>
      <c r="B52" s="4" t="s">
        <v>149</v>
      </c>
      <c r="C52" s="5" t="s">
        <v>66</v>
      </c>
      <c r="D52" s="5" t="s">
        <v>27</v>
      </c>
      <c r="E52" s="7">
        <v>1977</v>
      </c>
      <c r="F52" s="4" t="s">
        <v>8</v>
      </c>
      <c r="G52" s="4" t="s">
        <v>9</v>
      </c>
      <c r="H52" s="4"/>
    </row>
    <row r="53" spans="1:8" x14ac:dyDescent="0.25">
      <c r="A53" s="4">
        <v>53</v>
      </c>
      <c r="B53" s="4" t="s">
        <v>151</v>
      </c>
      <c r="C53" s="5" t="s">
        <v>67</v>
      </c>
      <c r="D53" s="5" t="s">
        <v>20</v>
      </c>
      <c r="E53" s="7">
        <v>1992</v>
      </c>
      <c r="F53" s="4" t="s">
        <v>8</v>
      </c>
      <c r="G53" s="4" t="s">
        <v>9</v>
      </c>
      <c r="H53" s="4"/>
    </row>
    <row r="54" spans="1:8" x14ac:dyDescent="0.25">
      <c r="A54" s="4">
        <v>54</v>
      </c>
      <c r="B54" s="4" t="s">
        <v>153</v>
      </c>
      <c r="C54" s="5" t="s">
        <v>68</v>
      </c>
      <c r="D54" s="5" t="s">
        <v>27</v>
      </c>
      <c r="E54" s="7">
        <v>1999</v>
      </c>
      <c r="F54" s="4" t="s">
        <v>8</v>
      </c>
      <c r="G54" s="4" t="s">
        <v>9</v>
      </c>
      <c r="H54" s="4"/>
    </row>
    <row r="55" spans="1:8" x14ac:dyDescent="0.25">
      <c r="A55" s="4">
        <v>55</v>
      </c>
      <c r="B55" s="4"/>
      <c r="C55" s="5" t="s">
        <v>69</v>
      </c>
      <c r="D55" s="5" t="s">
        <v>70</v>
      </c>
      <c r="E55" s="7">
        <v>1987</v>
      </c>
      <c r="F55" s="4" t="s">
        <v>8</v>
      </c>
      <c r="G55" s="4" t="s">
        <v>9</v>
      </c>
      <c r="H55" s="4"/>
    </row>
    <row r="56" spans="1:8" x14ac:dyDescent="0.25">
      <c r="A56" s="4">
        <v>56</v>
      </c>
      <c r="B56" s="4" t="s">
        <v>131</v>
      </c>
      <c r="C56" s="5" t="s">
        <v>71</v>
      </c>
      <c r="D56" s="5" t="s">
        <v>27</v>
      </c>
      <c r="E56" s="7">
        <v>1997</v>
      </c>
      <c r="F56" s="4" t="s">
        <v>8</v>
      </c>
      <c r="G56" s="4" t="s">
        <v>9</v>
      </c>
      <c r="H56" s="4"/>
    </row>
    <row r="57" spans="1:8" x14ac:dyDescent="0.25">
      <c r="A57" s="4">
        <v>57</v>
      </c>
      <c r="B57" s="4" t="s">
        <v>137</v>
      </c>
      <c r="C57" s="5" t="s">
        <v>72</v>
      </c>
      <c r="D57" s="5" t="s">
        <v>27</v>
      </c>
      <c r="E57" s="7">
        <v>1987</v>
      </c>
      <c r="F57" s="4" t="s">
        <v>8</v>
      </c>
      <c r="G57" s="4" t="s">
        <v>9</v>
      </c>
      <c r="H57" s="4"/>
    </row>
    <row r="58" spans="1:8" x14ac:dyDescent="0.25">
      <c r="A58" s="4">
        <v>58</v>
      </c>
      <c r="B58" s="4" t="s">
        <v>143</v>
      </c>
      <c r="C58" s="5" t="s">
        <v>73</v>
      </c>
      <c r="D58" s="5" t="s">
        <v>27</v>
      </c>
      <c r="E58" s="7">
        <v>1982</v>
      </c>
      <c r="F58" s="4" t="s">
        <v>8</v>
      </c>
      <c r="G58" s="4" t="s">
        <v>9</v>
      </c>
      <c r="H58" s="4"/>
    </row>
    <row r="59" spans="1:8" x14ac:dyDescent="0.25">
      <c r="A59" s="4">
        <v>59</v>
      </c>
      <c r="B59" s="4" t="s">
        <v>167</v>
      </c>
      <c r="C59" s="5" t="s">
        <v>74</v>
      </c>
      <c r="D59" s="5" t="s">
        <v>27</v>
      </c>
      <c r="E59" s="7">
        <v>2000</v>
      </c>
      <c r="F59" s="4" t="s">
        <v>8</v>
      </c>
      <c r="G59" s="4" t="s">
        <v>9</v>
      </c>
      <c r="H59" s="4"/>
    </row>
    <row r="60" spans="1:8" x14ac:dyDescent="0.25">
      <c r="A60" s="4">
        <v>60</v>
      </c>
      <c r="B60" s="4" t="s">
        <v>170</v>
      </c>
      <c r="C60" s="5" t="s">
        <v>75</v>
      </c>
      <c r="D60" s="5" t="s">
        <v>20</v>
      </c>
      <c r="E60" s="7">
        <v>1994</v>
      </c>
      <c r="F60" s="4" t="s">
        <v>8</v>
      </c>
      <c r="G60" s="4" t="s">
        <v>9</v>
      </c>
      <c r="H60" s="4"/>
    </row>
    <row r="61" spans="1:8" x14ac:dyDescent="0.25">
      <c r="A61" s="4">
        <v>61</v>
      </c>
      <c r="B61" s="4" t="s">
        <v>152</v>
      </c>
      <c r="C61" s="5" t="s">
        <v>76</v>
      </c>
      <c r="D61" s="5" t="s">
        <v>27</v>
      </c>
      <c r="E61" s="7">
        <v>1987</v>
      </c>
      <c r="F61" s="4" t="s">
        <v>8</v>
      </c>
      <c r="G61" s="4" t="s">
        <v>9</v>
      </c>
      <c r="H61" s="4"/>
    </row>
    <row r="62" spans="1:8" x14ac:dyDescent="0.25">
      <c r="A62" s="4">
        <v>62</v>
      </c>
      <c r="B62" s="4" t="s">
        <v>154</v>
      </c>
      <c r="C62" s="5" t="s">
        <v>77</v>
      </c>
      <c r="D62" s="5" t="s">
        <v>27</v>
      </c>
      <c r="E62" s="7">
        <v>1988</v>
      </c>
      <c r="F62" s="4" t="s">
        <v>8</v>
      </c>
      <c r="G62" s="4" t="s">
        <v>9</v>
      </c>
      <c r="H62" s="4"/>
    </row>
    <row r="63" spans="1:8" x14ac:dyDescent="0.25">
      <c r="A63" s="4">
        <v>63</v>
      </c>
      <c r="B63" s="4" t="s">
        <v>155</v>
      </c>
      <c r="C63" s="5" t="s">
        <v>78</v>
      </c>
      <c r="D63" s="5" t="s">
        <v>20</v>
      </c>
      <c r="E63" s="7">
        <v>1977</v>
      </c>
      <c r="F63" s="4" t="s">
        <v>8</v>
      </c>
      <c r="G63" s="4" t="s">
        <v>9</v>
      </c>
      <c r="H63" s="4"/>
    </row>
    <row r="64" spans="1:8" x14ac:dyDescent="0.25">
      <c r="A64" s="4">
        <v>64</v>
      </c>
      <c r="B64" s="4" t="s">
        <v>156</v>
      </c>
      <c r="C64" s="5" t="s">
        <v>79</v>
      </c>
      <c r="D64" s="5" t="s">
        <v>20</v>
      </c>
      <c r="E64" s="7">
        <v>1976</v>
      </c>
      <c r="F64" s="4" t="s">
        <v>8</v>
      </c>
      <c r="G64" s="4" t="s">
        <v>9</v>
      </c>
      <c r="H64" s="4"/>
    </row>
    <row r="65" spans="1:8" x14ac:dyDescent="0.25">
      <c r="A65" s="4">
        <v>65</v>
      </c>
      <c r="B65" s="4" t="s">
        <v>157</v>
      </c>
      <c r="C65" s="5" t="s">
        <v>80</v>
      </c>
      <c r="D65" s="5" t="s">
        <v>29</v>
      </c>
      <c r="E65" s="7">
        <v>1982</v>
      </c>
      <c r="F65" s="4" t="s">
        <v>8</v>
      </c>
      <c r="G65" s="4" t="s">
        <v>9</v>
      </c>
      <c r="H65" s="4"/>
    </row>
    <row r="66" spans="1:8" x14ac:dyDescent="0.25">
      <c r="A66" s="4">
        <v>66</v>
      </c>
      <c r="B66" s="4" t="s">
        <v>109</v>
      </c>
      <c r="C66" s="5" t="s">
        <v>81</v>
      </c>
      <c r="D66" s="5" t="s">
        <v>27</v>
      </c>
      <c r="E66" s="7">
        <v>1993</v>
      </c>
      <c r="F66" s="4" t="s">
        <v>8</v>
      </c>
      <c r="G66" s="4" t="s">
        <v>9</v>
      </c>
      <c r="H66" s="4"/>
    </row>
    <row r="67" spans="1:8" x14ac:dyDescent="0.25">
      <c r="A67" s="4">
        <v>67</v>
      </c>
      <c r="B67" s="4" t="s">
        <v>158</v>
      </c>
      <c r="C67" s="5" t="s">
        <v>82</v>
      </c>
      <c r="D67" s="5" t="s">
        <v>20</v>
      </c>
      <c r="E67" s="7">
        <v>1980</v>
      </c>
      <c r="F67" s="4" t="s">
        <v>8</v>
      </c>
      <c r="G67" s="4" t="s">
        <v>9</v>
      </c>
      <c r="H67" s="4"/>
    </row>
    <row r="68" spans="1:8" x14ac:dyDescent="0.25">
      <c r="A68" s="4">
        <v>68</v>
      </c>
      <c r="B68" s="4" t="s">
        <v>159</v>
      </c>
      <c r="C68" s="5" t="s">
        <v>83</v>
      </c>
      <c r="D68" s="5" t="s">
        <v>27</v>
      </c>
      <c r="E68" s="7">
        <v>1977</v>
      </c>
      <c r="F68" s="4" t="s">
        <v>8</v>
      </c>
      <c r="G68" s="4" t="s">
        <v>9</v>
      </c>
      <c r="H68" s="4"/>
    </row>
    <row r="69" spans="1:8" x14ac:dyDescent="0.25">
      <c r="A69" s="4">
        <v>69</v>
      </c>
      <c r="B69" s="4" t="s">
        <v>160</v>
      </c>
      <c r="C69" s="5" t="s">
        <v>84</v>
      </c>
      <c r="D69" s="5" t="s">
        <v>20</v>
      </c>
      <c r="E69" s="7">
        <v>1984</v>
      </c>
      <c r="F69" s="4" t="s">
        <v>8</v>
      </c>
      <c r="G69" s="4" t="s">
        <v>9</v>
      </c>
      <c r="H69" s="4"/>
    </row>
    <row r="70" spans="1:8" x14ac:dyDescent="0.25">
      <c r="A70" s="4">
        <v>70</v>
      </c>
      <c r="B70" s="4" t="s">
        <v>161</v>
      </c>
      <c r="C70" s="5" t="s">
        <v>174</v>
      </c>
      <c r="D70" s="5" t="s">
        <v>27</v>
      </c>
      <c r="E70" s="7">
        <v>1987</v>
      </c>
      <c r="F70" s="4" t="s">
        <v>8</v>
      </c>
      <c r="G70" s="4" t="s">
        <v>9</v>
      </c>
      <c r="H70" s="4"/>
    </row>
    <row r="71" spans="1:8" x14ac:dyDescent="0.25">
      <c r="A71" s="4">
        <v>71</v>
      </c>
      <c r="B71" s="4" t="s">
        <v>162</v>
      </c>
      <c r="C71" s="5" t="s">
        <v>86</v>
      </c>
      <c r="D71" s="5" t="s">
        <v>27</v>
      </c>
      <c r="E71" s="7">
        <v>1990</v>
      </c>
      <c r="F71" s="4" t="s">
        <v>8</v>
      </c>
      <c r="G71" s="4" t="s">
        <v>9</v>
      </c>
      <c r="H71" s="4"/>
    </row>
    <row r="72" spans="1:8" x14ac:dyDescent="0.25">
      <c r="A72" s="4">
        <v>72</v>
      </c>
      <c r="B72" s="4" t="s">
        <v>163</v>
      </c>
      <c r="C72" s="5" t="s">
        <v>87</v>
      </c>
      <c r="D72" s="5" t="s">
        <v>20</v>
      </c>
      <c r="E72" s="7">
        <v>1990</v>
      </c>
      <c r="F72" s="4" t="s">
        <v>8</v>
      </c>
      <c r="G72" s="4" t="s">
        <v>9</v>
      </c>
      <c r="H72" s="4"/>
    </row>
    <row r="73" spans="1:8" x14ac:dyDescent="0.25">
      <c r="A73" s="4">
        <v>73</v>
      </c>
      <c r="B73" s="4" t="s">
        <v>130</v>
      </c>
      <c r="C73" s="5" t="s">
        <v>88</v>
      </c>
      <c r="D73" s="5" t="s">
        <v>27</v>
      </c>
      <c r="E73" s="7">
        <v>1999</v>
      </c>
      <c r="F73" s="4" t="s">
        <v>8</v>
      </c>
      <c r="G73" s="4" t="s">
        <v>9</v>
      </c>
      <c r="H73" s="4"/>
    </row>
    <row r="74" spans="1:8" x14ac:dyDescent="0.25">
      <c r="A74" s="4">
        <v>74</v>
      </c>
      <c r="B74" s="4" t="s">
        <v>112</v>
      </c>
      <c r="C74" s="5" t="s">
        <v>89</v>
      </c>
      <c r="D74" s="5" t="s">
        <v>20</v>
      </c>
      <c r="E74" s="7">
        <v>1992</v>
      </c>
      <c r="F74" s="4" t="s">
        <v>8</v>
      </c>
      <c r="G74" s="4" t="s">
        <v>9</v>
      </c>
      <c r="H74" s="4"/>
    </row>
    <row r="75" spans="1:8" x14ac:dyDescent="0.25">
      <c r="A75" s="2">
        <v>75</v>
      </c>
      <c r="B75" s="2" t="s">
        <v>164</v>
      </c>
      <c r="C75" s="3" t="s">
        <v>90</v>
      </c>
      <c r="D75" s="3" t="s">
        <v>29</v>
      </c>
      <c r="E75" s="7">
        <v>1979</v>
      </c>
      <c r="F75" s="2" t="s">
        <v>8</v>
      </c>
      <c r="G75" s="2" t="s">
        <v>9</v>
      </c>
      <c r="H75" s="2"/>
    </row>
    <row r="76" spans="1:8" x14ac:dyDescent="0.25">
      <c r="A76" s="2">
        <v>76</v>
      </c>
      <c r="B76" s="2" t="s">
        <v>104</v>
      </c>
      <c r="C76" s="3" t="s">
        <v>91</v>
      </c>
      <c r="D76" s="3" t="s">
        <v>20</v>
      </c>
      <c r="E76" s="7">
        <v>1981</v>
      </c>
      <c r="F76" s="2" t="s">
        <v>8</v>
      </c>
      <c r="G76" s="2" t="s">
        <v>9</v>
      </c>
      <c r="H76" s="2"/>
    </row>
    <row r="77" spans="1:8" x14ac:dyDescent="0.25">
      <c r="A77" s="2">
        <v>77</v>
      </c>
      <c r="B77" s="2" t="s">
        <v>105</v>
      </c>
      <c r="C77" s="3" t="s">
        <v>92</v>
      </c>
      <c r="D77" s="3" t="s">
        <v>20</v>
      </c>
      <c r="E77" s="7">
        <v>1983</v>
      </c>
      <c r="F77" s="2" t="s">
        <v>8</v>
      </c>
      <c r="G77" s="2" t="s">
        <v>9</v>
      </c>
      <c r="H77" s="2"/>
    </row>
    <row r="78" spans="1:8" x14ac:dyDescent="0.25">
      <c r="A78" s="2">
        <v>78</v>
      </c>
      <c r="B78" s="2" t="s">
        <v>165</v>
      </c>
      <c r="C78" s="3" t="s">
        <v>93</v>
      </c>
      <c r="D78" s="3" t="s">
        <v>20</v>
      </c>
      <c r="E78" s="7">
        <v>1983</v>
      </c>
      <c r="F78" s="2" t="s">
        <v>8</v>
      </c>
      <c r="G78" s="2" t="s">
        <v>9</v>
      </c>
      <c r="H78" s="2"/>
    </row>
    <row r="79" spans="1:8" x14ac:dyDescent="0.25">
      <c r="A79" s="2">
        <v>79</v>
      </c>
      <c r="B79" s="2" t="s">
        <v>166</v>
      </c>
      <c r="C79" s="3" t="s">
        <v>94</v>
      </c>
      <c r="D79" s="3" t="s">
        <v>20</v>
      </c>
      <c r="E79" s="7">
        <v>1991</v>
      </c>
      <c r="F79" s="2" t="s">
        <v>8</v>
      </c>
      <c r="G79" s="2" t="s">
        <v>9</v>
      </c>
      <c r="H79" s="2"/>
    </row>
    <row r="80" spans="1:8" x14ac:dyDescent="0.25">
      <c r="A80" s="2">
        <v>80</v>
      </c>
      <c r="B80" s="2" t="s">
        <v>106</v>
      </c>
      <c r="C80" s="3" t="s">
        <v>85</v>
      </c>
      <c r="D80" s="3" t="s">
        <v>11</v>
      </c>
      <c r="E80" s="7">
        <v>1979</v>
      </c>
      <c r="F80" s="2" t="s">
        <v>8</v>
      </c>
      <c r="G80" s="2" t="s">
        <v>9</v>
      </c>
      <c r="H80" s="2"/>
    </row>
    <row r="81" spans="1:8" x14ac:dyDescent="0.25">
      <c r="A81" s="2">
        <v>81</v>
      </c>
      <c r="B81" s="2" t="s">
        <v>107</v>
      </c>
      <c r="C81" s="3" t="s">
        <v>95</v>
      </c>
      <c r="D81" s="3" t="s">
        <v>27</v>
      </c>
      <c r="E81" s="7">
        <v>1969</v>
      </c>
      <c r="F81" s="2" t="s">
        <v>8</v>
      </c>
      <c r="G81" s="2" t="s">
        <v>9</v>
      </c>
      <c r="H81" s="2"/>
    </row>
    <row r="82" spans="1:8" x14ac:dyDescent="0.25">
      <c r="A82" s="2">
        <v>82</v>
      </c>
      <c r="B82" s="2"/>
      <c r="C82" s="3" t="s">
        <v>96</v>
      </c>
      <c r="D82" s="3" t="s">
        <v>27</v>
      </c>
      <c r="E82" s="7">
        <v>1985</v>
      </c>
      <c r="F82" s="2" t="s">
        <v>12</v>
      </c>
      <c r="G82" s="2" t="s">
        <v>9</v>
      </c>
      <c r="H82" s="2" t="s">
        <v>9</v>
      </c>
    </row>
    <row r="83" spans="1:8" x14ac:dyDescent="0.25">
      <c r="A83" s="2">
        <v>83</v>
      </c>
      <c r="B83" s="2"/>
      <c r="C83" s="3" t="s">
        <v>97</v>
      </c>
      <c r="D83" s="3" t="s">
        <v>27</v>
      </c>
      <c r="E83" s="7">
        <v>1983</v>
      </c>
      <c r="F83" s="2" t="s">
        <v>12</v>
      </c>
      <c r="G83" s="2" t="s">
        <v>9</v>
      </c>
      <c r="H83" s="2" t="s">
        <v>9</v>
      </c>
    </row>
    <row r="84" spans="1:8" x14ac:dyDescent="0.25">
      <c r="A84" s="2">
        <v>84</v>
      </c>
      <c r="B84" s="2" t="s">
        <v>110</v>
      </c>
      <c r="C84" s="3" t="s">
        <v>98</v>
      </c>
      <c r="D84" s="3" t="s">
        <v>27</v>
      </c>
      <c r="E84" s="7">
        <v>1987</v>
      </c>
      <c r="F84" s="2" t="s">
        <v>8</v>
      </c>
      <c r="G84" s="2" t="s">
        <v>9</v>
      </c>
      <c r="H84" s="2"/>
    </row>
    <row r="85" spans="1:8" x14ac:dyDescent="0.25">
      <c r="A85" s="2">
        <v>85</v>
      </c>
      <c r="B85" s="2" t="s">
        <v>111</v>
      </c>
      <c r="C85" s="3" t="s">
        <v>99</v>
      </c>
      <c r="D85" s="3" t="s">
        <v>20</v>
      </c>
      <c r="E85" s="7">
        <v>1986</v>
      </c>
      <c r="F85" s="2" t="s">
        <v>8</v>
      </c>
      <c r="G85" s="2" t="s">
        <v>9</v>
      </c>
      <c r="H85" s="2"/>
    </row>
    <row r="86" spans="1:8" x14ac:dyDescent="0.25">
      <c r="A86" s="2">
        <v>86</v>
      </c>
      <c r="B86" s="2"/>
      <c r="C86" s="3" t="s">
        <v>100</v>
      </c>
      <c r="D86" s="3" t="s">
        <v>20</v>
      </c>
      <c r="E86" s="7">
        <v>1988</v>
      </c>
      <c r="F86" s="2" t="s">
        <v>12</v>
      </c>
      <c r="G86" s="2" t="s">
        <v>9</v>
      </c>
      <c r="H86" s="2" t="s">
        <v>9</v>
      </c>
    </row>
    <row r="87" spans="1:8" x14ac:dyDescent="0.25">
      <c r="A87" s="2">
        <v>87</v>
      </c>
      <c r="B87" s="2"/>
      <c r="C87" s="3" t="s">
        <v>101</v>
      </c>
      <c r="D87" s="3" t="s">
        <v>20</v>
      </c>
      <c r="E87" s="7">
        <v>1977</v>
      </c>
      <c r="F87" s="2" t="s">
        <v>12</v>
      </c>
      <c r="G87" s="2" t="s">
        <v>9</v>
      </c>
      <c r="H87" s="2" t="s">
        <v>9</v>
      </c>
    </row>
  </sheetData>
  <autoFilter ref="A1:H87" xr:uid="{95300CC2-B811-4844-9351-9D18F36F946F}">
    <sortState ref="A2:H87">
      <sortCondition ref="A1:A87"/>
    </sortState>
  </autoFilter>
  <conditionalFormatting sqref="C1:C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3A1D-1908-44BF-83F6-6D4E7137AC7E}">
  <dimension ref="A1:G41"/>
  <sheetViews>
    <sheetView tabSelected="1" workbookViewId="0">
      <selection activeCell="D5" sqref="D5:D13"/>
    </sheetView>
  </sheetViews>
  <sheetFormatPr defaultRowHeight="15" x14ac:dyDescent="0.25"/>
  <cols>
    <col min="1" max="1" width="6.7109375" bestFit="1" customWidth="1"/>
    <col min="2" max="2" width="90.28515625" bestFit="1" customWidth="1"/>
    <col min="3" max="3" width="8.7109375" bestFit="1" customWidth="1"/>
    <col min="4" max="5" width="13.85546875" bestFit="1" customWidth="1"/>
  </cols>
  <sheetData>
    <row r="1" spans="1:7" ht="20.25" x14ac:dyDescent="0.25">
      <c r="A1" s="9" t="s">
        <v>176</v>
      </c>
      <c r="B1" s="9"/>
      <c r="C1" s="9"/>
      <c r="D1" s="9"/>
      <c r="E1" s="9"/>
      <c r="F1" s="9"/>
      <c r="G1" s="9"/>
    </row>
    <row r="2" spans="1:7" ht="60.75" x14ac:dyDescent="0.25">
      <c r="A2" s="10" t="s">
        <v>177</v>
      </c>
      <c r="B2" s="11" t="s">
        <v>178</v>
      </c>
      <c r="C2" s="12" t="s">
        <v>179</v>
      </c>
      <c r="D2" s="12" t="s">
        <v>180</v>
      </c>
      <c r="E2" s="12" t="s">
        <v>181</v>
      </c>
      <c r="F2" s="13" t="s">
        <v>182</v>
      </c>
      <c r="G2" s="13"/>
    </row>
    <row r="3" spans="1:7" ht="20.25" x14ac:dyDescent="0.25">
      <c r="A3" s="10" t="s">
        <v>183</v>
      </c>
      <c r="B3" s="11" t="s">
        <v>184</v>
      </c>
      <c r="C3" s="12"/>
      <c r="D3" s="14"/>
      <c r="E3" s="14"/>
      <c r="F3" s="15"/>
      <c r="G3" s="15"/>
    </row>
    <row r="4" spans="1:7" ht="20.25" x14ac:dyDescent="0.3">
      <c r="A4" s="16">
        <v>1</v>
      </c>
      <c r="B4" s="17" t="s">
        <v>185</v>
      </c>
      <c r="C4" s="18">
        <f>74+12</f>
        <v>86</v>
      </c>
      <c r="D4" s="19" t="s">
        <v>186</v>
      </c>
      <c r="E4" s="19" t="s">
        <v>186</v>
      </c>
      <c r="F4" s="20" t="s">
        <v>186</v>
      </c>
      <c r="G4" s="20"/>
    </row>
    <row r="5" spans="1:7" ht="20.25" x14ac:dyDescent="0.3">
      <c r="A5" s="21">
        <v>2</v>
      </c>
      <c r="B5" s="17" t="s">
        <v>187</v>
      </c>
      <c r="C5" s="22">
        <v>86</v>
      </c>
      <c r="D5" s="22">
        <f>120000</f>
        <v>120000</v>
      </c>
      <c r="E5" s="22">
        <f>120000</f>
        <v>120000</v>
      </c>
      <c r="F5" s="22">
        <f>C5*D5</f>
        <v>10320000</v>
      </c>
      <c r="G5" s="22"/>
    </row>
    <row r="6" spans="1:7" ht="20.25" x14ac:dyDescent="0.3">
      <c r="A6" s="21"/>
      <c r="B6" s="17" t="s">
        <v>188</v>
      </c>
      <c r="C6" s="22"/>
      <c r="D6" s="22"/>
      <c r="E6" s="22"/>
      <c r="F6" s="22"/>
      <c r="G6" s="22"/>
    </row>
    <row r="7" spans="1:7" ht="20.25" x14ac:dyDescent="0.3">
      <c r="A7" s="21"/>
      <c r="B7" s="17" t="s">
        <v>189</v>
      </c>
      <c r="C7" s="22"/>
      <c r="D7" s="22"/>
      <c r="E7" s="22"/>
      <c r="F7" s="22"/>
      <c r="G7" s="22"/>
    </row>
    <row r="8" spans="1:7" ht="20.25" x14ac:dyDescent="0.3">
      <c r="A8" s="21"/>
      <c r="B8" s="17" t="s">
        <v>190</v>
      </c>
      <c r="C8" s="22"/>
      <c r="D8" s="22"/>
      <c r="E8" s="22"/>
      <c r="F8" s="22"/>
      <c r="G8" s="22"/>
    </row>
    <row r="9" spans="1:7" ht="20.25" x14ac:dyDescent="0.3">
      <c r="A9" s="21"/>
      <c r="B9" s="17" t="s">
        <v>191</v>
      </c>
      <c r="C9" s="22"/>
      <c r="D9" s="22"/>
      <c r="E9" s="22"/>
      <c r="F9" s="22"/>
      <c r="G9" s="22"/>
    </row>
    <row r="10" spans="1:7" ht="20.25" x14ac:dyDescent="0.3">
      <c r="A10" s="21"/>
      <c r="B10" s="17" t="s">
        <v>192</v>
      </c>
      <c r="C10" s="22"/>
      <c r="D10" s="22"/>
      <c r="E10" s="22"/>
      <c r="F10" s="22"/>
      <c r="G10" s="22"/>
    </row>
    <row r="11" spans="1:7" ht="20.25" x14ac:dyDescent="0.3">
      <c r="A11" s="21"/>
      <c r="B11" s="17" t="s">
        <v>193</v>
      </c>
      <c r="C11" s="22"/>
      <c r="D11" s="22"/>
      <c r="E11" s="22"/>
      <c r="F11" s="22"/>
      <c r="G11" s="22"/>
    </row>
    <row r="12" spans="1:7" ht="20.25" x14ac:dyDescent="0.3">
      <c r="A12" s="21"/>
      <c r="B12" s="17" t="s">
        <v>194</v>
      </c>
      <c r="C12" s="22"/>
      <c r="D12" s="22"/>
      <c r="E12" s="22"/>
      <c r="F12" s="22"/>
      <c r="G12" s="22"/>
    </row>
    <row r="13" spans="1:7" ht="20.25" x14ac:dyDescent="0.3">
      <c r="A13" s="21"/>
      <c r="B13" s="17" t="s">
        <v>195</v>
      </c>
      <c r="C13" s="22"/>
      <c r="D13" s="22"/>
      <c r="E13" s="22"/>
      <c r="F13" s="22"/>
      <c r="G13" s="22"/>
    </row>
    <row r="14" spans="1:7" ht="20.25" x14ac:dyDescent="0.3">
      <c r="A14" s="23">
        <v>3</v>
      </c>
      <c r="B14" s="17" t="s">
        <v>196</v>
      </c>
      <c r="C14" s="18">
        <f>74+12</f>
        <v>86</v>
      </c>
      <c r="D14" s="19">
        <v>90000</v>
      </c>
      <c r="E14" s="19">
        <v>90000</v>
      </c>
      <c r="F14" s="22">
        <f>C14*D14</f>
        <v>7740000</v>
      </c>
      <c r="G14" s="22"/>
    </row>
    <row r="15" spans="1:7" ht="20.25" x14ac:dyDescent="0.25">
      <c r="A15" s="23">
        <v>4</v>
      </c>
      <c r="B15" s="24" t="s">
        <v>197</v>
      </c>
      <c r="C15" s="18">
        <f>74+12</f>
        <v>86</v>
      </c>
      <c r="D15" s="19">
        <v>140000</v>
      </c>
      <c r="E15" s="19">
        <v>140000</v>
      </c>
      <c r="F15" s="22">
        <f t="shared" ref="F15:F38" si="0">C15*D15</f>
        <v>12040000</v>
      </c>
      <c r="G15" s="22"/>
    </row>
    <row r="16" spans="1:7" ht="20.25" x14ac:dyDescent="0.3">
      <c r="A16" s="23">
        <v>5</v>
      </c>
      <c r="B16" s="17" t="s">
        <v>198</v>
      </c>
      <c r="C16" s="18">
        <v>12</v>
      </c>
      <c r="D16" s="19">
        <v>140000</v>
      </c>
      <c r="E16" s="30"/>
      <c r="F16" s="22">
        <f t="shared" si="0"/>
        <v>1680000</v>
      </c>
      <c r="G16" s="22"/>
    </row>
    <row r="17" spans="1:7" ht="20.25" x14ac:dyDescent="0.3">
      <c r="A17" s="23">
        <v>6</v>
      </c>
      <c r="B17" s="17" t="s">
        <v>199</v>
      </c>
      <c r="C17" s="18">
        <f>74+12</f>
        <v>86</v>
      </c>
      <c r="D17" s="19">
        <v>70000</v>
      </c>
      <c r="E17" s="19">
        <v>70000</v>
      </c>
      <c r="F17" s="22">
        <f t="shared" si="0"/>
        <v>6020000</v>
      </c>
      <c r="G17" s="22"/>
    </row>
    <row r="18" spans="1:7" ht="20.25" x14ac:dyDescent="0.3">
      <c r="A18" s="23">
        <v>7</v>
      </c>
      <c r="B18" s="17" t="s">
        <v>200</v>
      </c>
      <c r="C18" s="25">
        <v>12</v>
      </c>
      <c r="D18" s="19" t="s">
        <v>186</v>
      </c>
      <c r="E18" s="30"/>
      <c r="F18" s="22" t="s">
        <v>186</v>
      </c>
      <c r="G18" s="22"/>
    </row>
    <row r="19" spans="1:7" ht="20.25" x14ac:dyDescent="0.3">
      <c r="A19" s="23">
        <v>8</v>
      </c>
      <c r="B19" s="17" t="s">
        <v>201</v>
      </c>
      <c r="C19" s="25">
        <v>12</v>
      </c>
      <c r="D19" s="19" t="s">
        <v>186</v>
      </c>
      <c r="E19" s="30"/>
      <c r="F19" s="22" t="s">
        <v>186</v>
      </c>
      <c r="G19" s="22"/>
    </row>
    <row r="20" spans="1:7" ht="20.25" x14ac:dyDescent="0.3">
      <c r="A20" s="23">
        <v>9</v>
      </c>
      <c r="B20" s="17" t="s">
        <v>202</v>
      </c>
      <c r="C20" s="25">
        <v>12</v>
      </c>
      <c r="D20" s="19">
        <v>127000</v>
      </c>
      <c r="E20" s="30"/>
      <c r="F20" s="22">
        <f t="shared" si="0"/>
        <v>1524000</v>
      </c>
      <c r="G20" s="22"/>
    </row>
    <row r="21" spans="1:7" ht="20.25" x14ac:dyDescent="0.3">
      <c r="A21" s="23">
        <v>10</v>
      </c>
      <c r="B21" s="17" t="s">
        <v>203</v>
      </c>
      <c r="C21" s="25">
        <v>12</v>
      </c>
      <c r="D21" s="19">
        <v>140000</v>
      </c>
      <c r="E21" s="30"/>
      <c r="F21" s="22">
        <f t="shared" si="0"/>
        <v>1680000</v>
      </c>
      <c r="G21" s="22"/>
    </row>
    <row r="22" spans="1:7" ht="20.25" x14ac:dyDescent="0.25">
      <c r="A22" s="12" t="s">
        <v>204</v>
      </c>
      <c r="B22" s="11" t="s">
        <v>205</v>
      </c>
      <c r="C22" s="18"/>
      <c r="D22" s="19"/>
      <c r="E22" s="19"/>
      <c r="F22" s="22"/>
      <c r="G22" s="22"/>
    </row>
    <row r="23" spans="1:7" ht="20.25" x14ac:dyDescent="0.3">
      <c r="A23" s="23">
        <v>11</v>
      </c>
      <c r="B23" s="17" t="s">
        <v>206</v>
      </c>
      <c r="C23" s="18">
        <f t="shared" ref="C23:C35" si="1">74+12</f>
        <v>86</v>
      </c>
      <c r="D23" s="19">
        <v>68000</v>
      </c>
      <c r="E23" s="19">
        <v>68000</v>
      </c>
      <c r="F23" s="22">
        <f t="shared" si="0"/>
        <v>5848000</v>
      </c>
      <c r="G23" s="22"/>
    </row>
    <row r="24" spans="1:7" ht="20.25" x14ac:dyDescent="0.3">
      <c r="A24" s="23">
        <v>12</v>
      </c>
      <c r="B24" s="17" t="s">
        <v>207</v>
      </c>
      <c r="C24" s="18">
        <f t="shared" si="1"/>
        <v>86</v>
      </c>
      <c r="D24" s="19">
        <v>20000</v>
      </c>
      <c r="E24" s="19">
        <v>20000</v>
      </c>
      <c r="F24" s="22">
        <f t="shared" si="0"/>
        <v>1720000</v>
      </c>
      <c r="G24" s="22"/>
    </row>
    <row r="25" spans="1:7" ht="20.25" x14ac:dyDescent="0.3">
      <c r="A25" s="23">
        <v>13</v>
      </c>
      <c r="B25" s="17" t="s">
        <v>208</v>
      </c>
      <c r="C25" s="18">
        <f t="shared" si="1"/>
        <v>86</v>
      </c>
      <c r="D25" s="19">
        <v>50000</v>
      </c>
      <c r="E25" s="19">
        <v>50000</v>
      </c>
      <c r="F25" s="22">
        <f t="shared" si="0"/>
        <v>4300000</v>
      </c>
      <c r="G25" s="22"/>
    </row>
    <row r="26" spans="1:7" ht="20.25" x14ac:dyDescent="0.3">
      <c r="A26" s="23">
        <v>14</v>
      </c>
      <c r="B26" s="17" t="s">
        <v>209</v>
      </c>
      <c r="C26" s="18">
        <f t="shared" si="1"/>
        <v>86</v>
      </c>
      <c r="D26" s="19">
        <v>35000</v>
      </c>
      <c r="E26" s="19">
        <v>35000</v>
      </c>
      <c r="F26" s="22">
        <f t="shared" si="0"/>
        <v>3010000</v>
      </c>
      <c r="G26" s="22"/>
    </row>
    <row r="27" spans="1:7" ht="20.25" x14ac:dyDescent="0.3">
      <c r="A27" s="23">
        <v>15</v>
      </c>
      <c r="B27" s="17" t="s">
        <v>210</v>
      </c>
      <c r="C27" s="18">
        <f t="shared" si="1"/>
        <v>86</v>
      </c>
      <c r="D27" s="19">
        <v>39000</v>
      </c>
      <c r="E27" s="19">
        <v>39000</v>
      </c>
      <c r="F27" s="22">
        <f t="shared" si="0"/>
        <v>3354000</v>
      </c>
      <c r="G27" s="22"/>
    </row>
    <row r="28" spans="1:7" ht="20.25" x14ac:dyDescent="0.3">
      <c r="A28" s="23">
        <v>16</v>
      </c>
      <c r="B28" s="17" t="s">
        <v>211</v>
      </c>
      <c r="C28" s="18">
        <f t="shared" si="1"/>
        <v>86</v>
      </c>
      <c r="D28" s="19">
        <v>33000</v>
      </c>
      <c r="E28" s="19">
        <v>33000</v>
      </c>
      <c r="F28" s="22">
        <f t="shared" si="0"/>
        <v>2838000</v>
      </c>
      <c r="G28" s="22"/>
    </row>
    <row r="29" spans="1:7" ht="20.25" x14ac:dyDescent="0.3">
      <c r="A29" s="23">
        <v>17</v>
      </c>
      <c r="B29" s="17" t="s">
        <v>212</v>
      </c>
      <c r="C29" s="18">
        <f t="shared" si="1"/>
        <v>86</v>
      </c>
      <c r="D29" s="19">
        <v>47000</v>
      </c>
      <c r="E29" s="19">
        <v>47000</v>
      </c>
      <c r="F29" s="22">
        <f t="shared" si="0"/>
        <v>4042000</v>
      </c>
      <c r="G29" s="22"/>
    </row>
    <row r="30" spans="1:7" ht="20.25" x14ac:dyDescent="0.3">
      <c r="A30" s="23">
        <v>18</v>
      </c>
      <c r="B30" s="17" t="s">
        <v>213</v>
      </c>
      <c r="C30" s="18">
        <f t="shared" si="1"/>
        <v>86</v>
      </c>
      <c r="D30" s="19">
        <v>33000</v>
      </c>
      <c r="E30" s="19">
        <v>33000</v>
      </c>
      <c r="F30" s="22">
        <f t="shared" si="0"/>
        <v>2838000</v>
      </c>
      <c r="G30" s="22"/>
    </row>
    <row r="31" spans="1:7" ht="20.25" x14ac:dyDescent="0.3">
      <c r="A31" s="23">
        <v>19</v>
      </c>
      <c r="B31" s="17" t="s">
        <v>214</v>
      </c>
      <c r="C31" s="18">
        <f t="shared" si="1"/>
        <v>86</v>
      </c>
      <c r="D31" s="19">
        <v>33000</v>
      </c>
      <c r="E31" s="19">
        <v>33000</v>
      </c>
      <c r="F31" s="22">
        <f t="shared" si="0"/>
        <v>2838000</v>
      </c>
      <c r="G31" s="22"/>
    </row>
    <row r="32" spans="1:7" ht="20.25" x14ac:dyDescent="0.3">
      <c r="A32" s="23">
        <v>20</v>
      </c>
      <c r="B32" s="17" t="s">
        <v>215</v>
      </c>
      <c r="C32" s="18">
        <f t="shared" si="1"/>
        <v>86</v>
      </c>
      <c r="D32" s="19">
        <v>30000</v>
      </c>
      <c r="E32" s="19">
        <v>30000</v>
      </c>
      <c r="F32" s="22">
        <f t="shared" si="0"/>
        <v>2580000</v>
      </c>
      <c r="G32" s="22"/>
    </row>
    <row r="33" spans="1:7" ht="20.25" x14ac:dyDescent="0.3">
      <c r="A33" s="23">
        <v>21</v>
      </c>
      <c r="B33" s="17" t="s">
        <v>216</v>
      </c>
      <c r="C33" s="18">
        <f t="shared" si="1"/>
        <v>86</v>
      </c>
      <c r="D33" s="19">
        <v>24000</v>
      </c>
      <c r="E33" s="19">
        <v>24000</v>
      </c>
      <c r="F33" s="22">
        <f t="shared" si="0"/>
        <v>2064000</v>
      </c>
      <c r="G33" s="22"/>
    </row>
    <row r="34" spans="1:7" ht="20.25" x14ac:dyDescent="0.3">
      <c r="A34" s="23">
        <v>22</v>
      </c>
      <c r="B34" s="17" t="s">
        <v>217</v>
      </c>
      <c r="C34" s="18">
        <f t="shared" si="1"/>
        <v>86</v>
      </c>
      <c r="D34" s="19">
        <v>24000</v>
      </c>
      <c r="E34" s="19">
        <v>24000</v>
      </c>
      <c r="F34" s="22">
        <f t="shared" si="0"/>
        <v>2064000</v>
      </c>
      <c r="G34" s="22"/>
    </row>
    <row r="35" spans="1:7" ht="20.25" x14ac:dyDescent="0.3">
      <c r="A35" s="23">
        <v>23</v>
      </c>
      <c r="B35" s="17" t="s">
        <v>218</v>
      </c>
      <c r="C35" s="18">
        <f t="shared" si="1"/>
        <v>86</v>
      </c>
      <c r="D35" s="19">
        <v>30000</v>
      </c>
      <c r="E35" s="19">
        <v>30000</v>
      </c>
      <c r="F35" s="22">
        <f t="shared" si="0"/>
        <v>2580000</v>
      </c>
      <c r="G35" s="22"/>
    </row>
    <row r="36" spans="1:7" ht="20.25" x14ac:dyDescent="0.3">
      <c r="A36" s="23">
        <v>24</v>
      </c>
      <c r="B36" s="17" t="s">
        <v>219</v>
      </c>
      <c r="C36" s="25">
        <v>12</v>
      </c>
      <c r="D36" s="19">
        <v>173000</v>
      </c>
      <c r="E36" s="30"/>
      <c r="F36" s="22">
        <f>C36*D36</f>
        <v>2076000</v>
      </c>
      <c r="G36" s="22"/>
    </row>
    <row r="37" spans="1:7" ht="20.25" x14ac:dyDescent="0.3">
      <c r="A37" s="23">
        <v>25</v>
      </c>
      <c r="B37" s="17" t="s">
        <v>220</v>
      </c>
      <c r="C37" s="25">
        <v>12</v>
      </c>
      <c r="D37" s="19">
        <v>50000</v>
      </c>
      <c r="E37" s="30"/>
      <c r="F37" s="22">
        <f t="shared" si="0"/>
        <v>600000</v>
      </c>
      <c r="G37" s="22"/>
    </row>
    <row r="38" spans="1:7" ht="20.25" x14ac:dyDescent="0.3">
      <c r="A38" s="23">
        <v>26</v>
      </c>
      <c r="B38" s="17" t="s">
        <v>221</v>
      </c>
      <c r="C38" s="25">
        <v>12</v>
      </c>
      <c r="D38" s="19">
        <v>250000</v>
      </c>
      <c r="E38" s="30"/>
      <c r="F38" s="22">
        <f t="shared" si="0"/>
        <v>3000000</v>
      </c>
      <c r="G38" s="22"/>
    </row>
    <row r="39" spans="1:7" ht="20.25" x14ac:dyDescent="0.25">
      <c r="A39" s="23">
        <v>27</v>
      </c>
      <c r="B39" s="24" t="s">
        <v>222</v>
      </c>
      <c r="C39" s="18">
        <f>74</f>
        <v>74</v>
      </c>
      <c r="D39" s="30"/>
      <c r="E39" s="19">
        <v>140000</v>
      </c>
      <c r="F39" s="22">
        <f>C39*E39</f>
        <v>10360000</v>
      </c>
      <c r="G39" s="22"/>
    </row>
    <row r="40" spans="1:7" ht="20.25" x14ac:dyDescent="0.25">
      <c r="A40" s="23">
        <v>28</v>
      </c>
      <c r="B40" s="24" t="s">
        <v>223</v>
      </c>
      <c r="C40" s="18">
        <f>74</f>
        <v>74</v>
      </c>
      <c r="D40" s="30"/>
      <c r="E40" s="26">
        <v>138000</v>
      </c>
      <c r="F40" s="22">
        <f>C40*E40</f>
        <v>10212000</v>
      </c>
      <c r="G40" s="22"/>
    </row>
    <row r="41" spans="1:7" ht="20.25" x14ac:dyDescent="0.25">
      <c r="A41" s="27" t="s">
        <v>224</v>
      </c>
      <c r="B41" s="27"/>
      <c r="C41" s="27"/>
      <c r="D41" s="28">
        <f>SUM(D5:D40)</f>
        <v>1766000</v>
      </c>
      <c r="E41" s="28">
        <f t="shared" ref="E41" si="2">SUM(E5:E40)</f>
        <v>1164000</v>
      </c>
      <c r="F41" s="29">
        <f>SUM(F5:F40)</f>
        <v>107328000</v>
      </c>
      <c r="G41" s="29"/>
    </row>
  </sheetData>
  <mergeCells count="38">
    <mergeCell ref="F38:G38"/>
    <mergeCell ref="F39:G39"/>
    <mergeCell ref="F40:G40"/>
    <mergeCell ref="A41:C41"/>
    <mergeCell ref="F41:G41"/>
    <mergeCell ref="F32:G32"/>
    <mergeCell ref="F33:G33"/>
    <mergeCell ref="F34:G34"/>
    <mergeCell ref="F35:G35"/>
    <mergeCell ref="F36:G36"/>
    <mergeCell ref="F37:G37"/>
    <mergeCell ref="F26:G26"/>
    <mergeCell ref="F27:G27"/>
    <mergeCell ref="F28:G28"/>
    <mergeCell ref="F29:G29"/>
    <mergeCell ref="F30:G30"/>
    <mergeCell ref="F31:G31"/>
    <mergeCell ref="F20:G20"/>
    <mergeCell ref="F21:G21"/>
    <mergeCell ref="F22:G22"/>
    <mergeCell ref="F23:G23"/>
    <mergeCell ref="F24:G24"/>
    <mergeCell ref="F25:G25"/>
    <mergeCell ref="F14:G14"/>
    <mergeCell ref="F15:G15"/>
    <mergeCell ref="F16:G16"/>
    <mergeCell ref="F17:G17"/>
    <mergeCell ref="F18:G18"/>
    <mergeCell ref="F19:G19"/>
    <mergeCell ref="A1:G1"/>
    <mergeCell ref="F2:G2"/>
    <mergeCell ref="F3:G3"/>
    <mergeCell ref="F4:G4"/>
    <mergeCell ref="A5:A13"/>
    <mergeCell ref="C5:C13"/>
    <mergeCell ref="D5:D13"/>
    <mergeCell ref="E5:E13"/>
    <mergeCell ref="F5:G13"/>
  </mergeCells>
  <conditionalFormatting sqref="B39:B41">
    <cfRule type="duplicateValues" dxfId="2" priority="3"/>
  </conditionalFormatting>
  <conditionalFormatting sqref="B1:B41">
    <cfRule type="duplicateValues" dxfId="1" priority="2"/>
  </conditionalFormatting>
  <conditionalFormatting sqref="B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2025-06-09T12:24:07Z</dcterms:modified>
</cp:coreProperties>
</file>