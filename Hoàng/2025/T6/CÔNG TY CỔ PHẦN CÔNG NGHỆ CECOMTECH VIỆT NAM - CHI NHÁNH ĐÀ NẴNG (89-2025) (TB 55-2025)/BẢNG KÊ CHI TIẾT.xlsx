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6\CÔNG TY CỔ PHẦN CÔNG NGHỆ CECOMTECH VIỆT NAM - CHI NHÁNH ĐÀ NẴNG (89-2025) (TB 55-2025)\"/>
    </mc:Choice>
  </mc:AlternateContent>
  <xr:revisionPtr revIDLastSave="0" documentId="13_ncr:1_{883E7344-5E71-450C-91AD-9FA2869DF36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ổng hợ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AD6" i="1"/>
  <c r="AC5" i="1"/>
  <c r="AC6" i="1"/>
  <c r="AC7" i="1"/>
  <c r="AC4" i="1"/>
  <c r="AD8" i="1"/>
  <c r="AC8" i="1"/>
</calcChain>
</file>

<file path=xl/sharedStrings.xml><?xml version="1.0" encoding="utf-8"?>
<sst xmlns="http://schemas.openxmlformats.org/spreadsheetml/2006/main" count="163" uniqueCount="48">
  <si>
    <t>Thông tin khách hàng</t>
  </si>
  <si>
    <t>Khám</t>
  </si>
  <si>
    <t>Cận lâm sàng</t>
  </si>
  <si>
    <t>Xét nghiệm</t>
  </si>
  <si>
    <t>STT</t>
  </si>
  <si>
    <t>Họ và tên</t>
  </si>
  <si>
    <t>Ngày sinh</t>
  </si>
  <si>
    <t>Giới tính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</si>
  <si>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</si>
  <si>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</si>
  <si>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</si>
  <si>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</si>
  <si>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</si>
  <si>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</si>
  <si>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</si>
  <si>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</si>
  <si>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</si>
  <si>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X-quang tim phổi kỹ thuật số (hãng Fuji-Nhật)</t>
  </si>
  <si>
    <t>Điện tâm đồ/ECG</t>
  </si>
  <si>
    <t>Siêu âm màu Bụng Tổng Quát (Máy GE LOGIQ S7 Expert)</t>
  </si>
  <si>
    <t>Siêu âm màu Tuyến Giáp</t>
  </si>
  <si>
    <t>Siêu âm màu Tuyến Vú</t>
  </si>
  <si>
    <t>Alpha FP (AFP)</t>
  </si>
  <si>
    <t>Cholesterol TP</t>
  </si>
  <si>
    <t>Định lượng CREATINIE máu</t>
  </si>
  <si>
    <t>Định lượng GLUCOSE máu</t>
  </si>
  <si>
    <t>HDL-Cholesterol</t>
  </si>
  <si>
    <t>NƯỚC TIỂU 10 THÔNG SỐ (KSK)</t>
  </si>
  <si>
    <t>Soi tươi (Soi trực tiếp nhuộm gram) : Dịch âm đạo</t>
  </si>
  <si>
    <t>Tổng phân tích tế bào máu bằng máy laser</t>
  </si>
  <si>
    <t>Triglyceride</t>
  </si>
  <si>
    <t/>
  </si>
  <si>
    <t>Nguyễn Anh Thư</t>
  </si>
  <si>
    <t>1996</t>
  </si>
  <si>
    <t>Nữ</t>
  </si>
  <si>
    <t>X</t>
  </si>
  <si>
    <t>Nguyễn Văn Dũng</t>
  </si>
  <si>
    <t>1998</t>
  </si>
  <si>
    <t>Nam</t>
  </si>
  <si>
    <t>Nguyễn Thị Ánh Tuyết</t>
  </si>
  <si>
    <t>2000</t>
  </si>
  <si>
    <t>Lê Thị Thu Trang</t>
  </si>
  <si>
    <t>AST (SGOT), ALT (SGPT)</t>
  </si>
  <si>
    <t>CHÍ PHÍ TRONG GÓI</t>
  </si>
  <si>
    <t>CHÍ PHÍ NGOÀI (ĐÃ TT RIÊNG)</t>
  </si>
  <si>
    <t>Chi phí (VND)</t>
  </si>
  <si>
    <t>Năm sinh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</si>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</sst>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Times New Roman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/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"/>
  <sheetViews>
    <sheetView topLeftCell="R1" workbookViewId="0">
      <selection activeCell="AC4" sqref="AC4:AC7"/>
    </sheetView>
  </sheetViews>
  <sheetFormatPr defaultRowHeight="15"/>
  <cols>
    <col min="2" max="2" width="25" customWidth="1"/>
    <col min="3" max="3" width="10" customWidth="1"/>
    <col min="5" max="28" width="15" customWidth="1"/>
    <col min="29" max="30" width="10.140625" bestFit="1" customWidth="1"/>
  </cols>
  <sheetData>
    <row r="1" spans="1:30">
      <c r="A1" s="10" t="s">
        <v>0</v>
      </c>
      <c r="B1" s="11"/>
      <c r="C1" s="11"/>
      <c r="D1" s="11"/>
      <c r="E1" s="10" t="s">
        <v>1</v>
      </c>
      <c r="F1" s="11"/>
      <c r="G1" s="11"/>
      <c r="H1" s="11"/>
      <c r="I1" s="11"/>
      <c r="J1" s="11"/>
      <c r="K1" s="11"/>
      <c r="L1" s="11"/>
      <c r="M1" s="11"/>
      <c r="N1" s="10" t="s">
        <v>2</v>
      </c>
      <c r="O1" s="11"/>
      <c r="P1" s="11"/>
      <c r="Q1" s="11"/>
      <c r="R1" s="11"/>
      <c r="S1" s="4" t="s">
        <v>3</v>
      </c>
      <c r="T1" s="5"/>
      <c r="U1" s="5"/>
      <c r="V1" s="5"/>
      <c r="W1" s="5"/>
      <c r="X1" s="5"/>
      <c r="Y1" s="5"/>
      <c r="Z1" s="5"/>
      <c r="AA1" s="5"/>
      <c r="AB1" s="5"/>
    </row>
    <row r="2" spans="1:30" ht="71.25">
      <c r="A2" s="12" t="s">
        <v>4</v>
      </c>
      <c r="B2" s="12" t="s">
        <v>5</v>
      </c>
      <c r="C2" s="12" t="s">
        <v>6</v>
      </c>
      <c r="D2" s="12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42</v>
      </c>
      <c r="U2" s="6" t="s">
        <v>30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29</v>
      </c>
      <c r="AB2" s="6" t="s">
        <v>28</v>
      </c>
      <c r="AC2" s="9" t="s">
        <v>43</v>
      </c>
      <c r="AD2" s="9" t="s">
        <v>44</v>
      </c>
    </row>
    <row r="3" spans="1:30" s="1" customFormat="1">
      <c r="A3" s="13"/>
      <c r="B3" s="13"/>
      <c r="C3" s="13"/>
      <c r="D3" s="13"/>
      <c r="E3" s="7">
        <v>10000</v>
      </c>
      <c r="F3" s="7">
        <v>10000</v>
      </c>
      <c r="G3" s="7">
        <v>70000</v>
      </c>
      <c r="H3" s="7">
        <v>10000</v>
      </c>
      <c r="I3" s="7">
        <v>10000</v>
      </c>
      <c r="J3" s="7" t="s">
        <v>31</v>
      </c>
      <c r="K3" s="7">
        <v>10000</v>
      </c>
      <c r="L3" s="7" t="s">
        <v>31</v>
      </c>
      <c r="M3" s="7" t="s">
        <v>31</v>
      </c>
      <c r="N3" s="7">
        <v>80000</v>
      </c>
      <c r="O3" s="7">
        <v>140000</v>
      </c>
      <c r="P3" s="7">
        <v>230000</v>
      </c>
      <c r="Q3" s="7">
        <v>230000</v>
      </c>
      <c r="R3" s="7">
        <v>220000</v>
      </c>
      <c r="S3" s="7">
        <v>121000</v>
      </c>
      <c r="T3" s="7">
        <v>48000</v>
      </c>
      <c r="U3" s="7">
        <v>41000</v>
      </c>
      <c r="V3" s="7">
        <v>47000</v>
      </c>
      <c r="W3" s="7">
        <v>42000</v>
      </c>
      <c r="X3" s="7">
        <v>27000</v>
      </c>
      <c r="Y3" s="7">
        <v>41000</v>
      </c>
      <c r="Z3" s="7">
        <v>32000</v>
      </c>
      <c r="AA3" s="7">
        <v>40000</v>
      </c>
      <c r="AB3" s="7">
        <v>64800</v>
      </c>
      <c r="AC3" s="9"/>
      <c r="AD3" s="9"/>
    </row>
    <row r="4" spans="1:30">
      <c r="A4" s="2">
        <v>1</v>
      </c>
      <c r="B4" s="3" t="s">
        <v>32</v>
      </c>
      <c r="C4" s="3" t="s">
        <v>33</v>
      </c>
      <c r="D4" s="3" t="s">
        <v>34</v>
      </c>
      <c r="E4" s="8" t="s">
        <v>35</v>
      </c>
      <c r="F4" s="8" t="s">
        <v>35</v>
      </c>
      <c r="G4" s="8" t="s">
        <v>35</v>
      </c>
      <c r="H4" s="8" t="s">
        <v>35</v>
      </c>
      <c r="I4" s="8" t="s">
        <v>35</v>
      </c>
      <c r="J4" s="8" t="s">
        <v>35</v>
      </c>
      <c r="K4" s="8" t="s">
        <v>35</v>
      </c>
      <c r="L4" s="8" t="s">
        <v>35</v>
      </c>
      <c r="M4" s="8" t="s">
        <v>35</v>
      </c>
      <c r="N4" s="8" t="s">
        <v>35</v>
      </c>
      <c r="O4" s="8" t="s">
        <v>35</v>
      </c>
      <c r="P4" s="8" t="s">
        <v>35</v>
      </c>
      <c r="Q4" s="8" t="s">
        <v>35</v>
      </c>
      <c r="R4" s="8" t="s">
        <v>35</v>
      </c>
      <c r="S4" s="8" t="s">
        <v>31</v>
      </c>
      <c r="T4" s="8" t="s">
        <v>35</v>
      </c>
      <c r="U4" s="8" t="s">
        <v>31</v>
      </c>
      <c r="V4" s="8" t="s">
        <v>31</v>
      </c>
      <c r="W4" s="8" t="s">
        <v>35</v>
      </c>
      <c r="X4" s="8" t="s">
        <v>35</v>
      </c>
      <c r="Y4" s="8" t="s">
        <v>31</v>
      </c>
      <c r="Z4" s="8" t="s">
        <v>35</v>
      </c>
      <c r="AA4" s="8" t="s">
        <v>35</v>
      </c>
      <c r="AB4" s="8" t="s">
        <v>31</v>
      </c>
      <c r="AC4" s="7">
        <f>SUMIF(E4:AA4,"X",$E$3:$AA$3)</f>
        <v>1209000</v>
      </c>
      <c r="AD4" s="7"/>
    </row>
    <row r="5" spans="1:30">
      <c r="A5" s="2">
        <v>2</v>
      </c>
      <c r="B5" s="3" t="s">
        <v>36</v>
      </c>
      <c r="C5" s="3" t="s">
        <v>37</v>
      </c>
      <c r="D5" s="3" t="s">
        <v>38</v>
      </c>
      <c r="E5" s="8" t="s">
        <v>35</v>
      </c>
      <c r="F5" s="8" t="s">
        <v>35</v>
      </c>
      <c r="G5" s="8" t="s">
        <v>35</v>
      </c>
      <c r="H5" s="8" t="s">
        <v>35</v>
      </c>
      <c r="I5" s="8" t="s">
        <v>35</v>
      </c>
      <c r="J5" s="8" t="s">
        <v>31</v>
      </c>
      <c r="K5" s="8" t="s">
        <v>35</v>
      </c>
      <c r="L5" s="8" t="s">
        <v>31</v>
      </c>
      <c r="M5" s="8" t="s">
        <v>35</v>
      </c>
      <c r="N5" s="8" t="s">
        <v>35</v>
      </c>
      <c r="O5" s="8" t="s">
        <v>35</v>
      </c>
      <c r="P5" s="8" t="s">
        <v>35</v>
      </c>
      <c r="Q5" s="8" t="s">
        <v>35</v>
      </c>
      <c r="R5" s="8" t="s">
        <v>31</v>
      </c>
      <c r="S5" s="8" t="s">
        <v>35</v>
      </c>
      <c r="T5" s="8" t="s">
        <v>35</v>
      </c>
      <c r="U5" s="8" t="s">
        <v>35</v>
      </c>
      <c r="V5" s="8" t="s">
        <v>35</v>
      </c>
      <c r="W5" s="8" t="s">
        <v>35</v>
      </c>
      <c r="X5" s="8" t="s">
        <v>35</v>
      </c>
      <c r="Y5" s="8" t="s">
        <v>35</v>
      </c>
      <c r="Z5" s="8" t="s">
        <v>35</v>
      </c>
      <c r="AA5" s="8" t="s">
        <v>35</v>
      </c>
      <c r="AB5" s="8" t="s">
        <v>31</v>
      </c>
      <c r="AC5" s="7">
        <f t="shared" ref="AC5:AC7" si="0">SUMIF(E5:AA5,"X",$E$3:$AA$3)</f>
        <v>1239000</v>
      </c>
      <c r="AD5" s="7"/>
    </row>
    <row r="6" spans="1:30">
      <c r="A6" s="2">
        <v>3</v>
      </c>
      <c r="B6" s="3" t="s">
        <v>39</v>
      </c>
      <c r="C6" s="3" t="s">
        <v>40</v>
      </c>
      <c r="D6" s="3" t="s">
        <v>34</v>
      </c>
      <c r="E6" s="8" t="s">
        <v>35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  <c r="L6" s="8" t="s">
        <v>35</v>
      </c>
      <c r="M6" s="8" t="s">
        <v>35</v>
      </c>
      <c r="N6" s="8" t="s">
        <v>35</v>
      </c>
      <c r="O6" s="8" t="s">
        <v>35</v>
      </c>
      <c r="P6" s="8" t="s">
        <v>35</v>
      </c>
      <c r="Q6" s="8" t="s">
        <v>35</v>
      </c>
      <c r="R6" s="8" t="s">
        <v>35</v>
      </c>
      <c r="S6" s="8" t="s">
        <v>31</v>
      </c>
      <c r="T6" s="8" t="s">
        <v>35</v>
      </c>
      <c r="U6" s="8" t="s">
        <v>31</v>
      </c>
      <c r="V6" s="8" t="s">
        <v>31</v>
      </c>
      <c r="W6" s="8" t="s">
        <v>35</v>
      </c>
      <c r="X6" s="8" t="s">
        <v>35</v>
      </c>
      <c r="Y6" s="8" t="s">
        <v>31</v>
      </c>
      <c r="Z6" s="8" t="s">
        <v>35</v>
      </c>
      <c r="AA6" s="8" t="s">
        <v>35</v>
      </c>
      <c r="AB6" s="8" t="s">
        <v>35</v>
      </c>
      <c r="AC6" s="7">
        <f t="shared" si="0"/>
        <v>1209000</v>
      </c>
      <c r="AD6" s="7">
        <f>AB3</f>
        <v>64800</v>
      </c>
    </row>
    <row r="7" spans="1:30">
      <c r="A7" s="2">
        <v>4</v>
      </c>
      <c r="B7" s="3" t="s">
        <v>41</v>
      </c>
      <c r="C7" s="3" t="s">
        <v>40</v>
      </c>
      <c r="D7" s="3" t="s">
        <v>34</v>
      </c>
      <c r="E7" s="8" t="s">
        <v>35</v>
      </c>
      <c r="F7" s="8" t="s">
        <v>35</v>
      </c>
      <c r="G7" s="8" t="s">
        <v>35</v>
      </c>
      <c r="H7" s="8" t="s">
        <v>35</v>
      </c>
      <c r="I7" s="8" t="s">
        <v>35</v>
      </c>
      <c r="J7" s="8" t="s">
        <v>35</v>
      </c>
      <c r="K7" s="8" t="s">
        <v>35</v>
      </c>
      <c r="L7" s="8" t="s">
        <v>35</v>
      </c>
      <c r="M7" s="8" t="s">
        <v>35</v>
      </c>
      <c r="N7" s="8" t="s">
        <v>35</v>
      </c>
      <c r="O7" s="8" t="s">
        <v>35</v>
      </c>
      <c r="P7" s="8" t="s">
        <v>35</v>
      </c>
      <c r="Q7" s="8" t="s">
        <v>35</v>
      </c>
      <c r="R7" s="8" t="s">
        <v>35</v>
      </c>
      <c r="S7" s="8" t="s">
        <v>31</v>
      </c>
      <c r="T7" s="8" t="s">
        <v>35</v>
      </c>
      <c r="U7" s="8" t="s">
        <v>31</v>
      </c>
      <c r="V7" s="8" t="s">
        <v>31</v>
      </c>
      <c r="W7" s="8" t="s">
        <v>35</v>
      </c>
      <c r="X7" s="8" t="s">
        <v>35</v>
      </c>
      <c r="Y7" s="8" t="s">
        <v>31</v>
      </c>
      <c r="Z7" s="8" t="s">
        <v>35</v>
      </c>
      <c r="AA7" s="8" t="s">
        <v>35</v>
      </c>
      <c r="AB7" s="8" t="s">
        <v>31</v>
      </c>
      <c r="AC7" s="7">
        <f t="shared" si="0"/>
        <v>1209000</v>
      </c>
      <c r="AD7" s="7"/>
    </row>
    <row r="8" spans="1:30">
      <c r="AC8" s="7">
        <f>SUM(AC4:AC7)</f>
        <v>4866000</v>
      </c>
      <c r="AD8" s="7">
        <f>SUM(AD4:AD7)</f>
        <v>64800</v>
      </c>
    </row>
  </sheetData>
  <mergeCells count="9">
    <mergeCell ref="AC2:AC3"/>
    <mergeCell ref="AD2:AD3"/>
    <mergeCell ref="N1:R1"/>
    <mergeCell ref="E1:M1"/>
    <mergeCell ref="A1:D1"/>
    <mergeCell ref="A2:A3"/>
    <mergeCell ref="B2:B3"/>
    <mergeCell ref="C2:C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9E77-38C0-4607-A340-751D19F9CF3F}">
  <dimension ref="A1:E6"/>
  <sheetViews>
    <sheetView tabSelected="1" workbookViewId="0">
      <selection activeCell="I7" sqref="I7"/>
    </sheetView>
  </sheetViews>
  <sheetFormatPr defaultRowHeight="15"/>
  <cols>
    <col min="1" max="1" width="5" bestFit="1" customWidth="1"/>
    <col min="2" max="2" width="20.7109375" bestFit="1" customWidth="1"/>
    <col min="3" max="3" width="9.7109375" bestFit="1" customWidth="1"/>
    <col min="4" max="4" width="9" bestFit="1" customWidth="1"/>
    <col min="5" max="5" width="14.42578125" bestFit="1" customWidth="1"/>
  </cols>
  <sheetData>
    <row r="1" spans="1:5" ht="15" customHeight="1">
      <c r="A1" s="14" t="s">
        <v>4</v>
      </c>
      <c r="B1" s="14" t="s">
        <v>5</v>
      </c>
      <c r="C1" s="14" t="s">
        <v>46</v>
      </c>
      <c r="D1" s="14" t="s">
        <v>7</v>
      </c>
      <c r="E1" s="14" t="s">
        <v>45</v>
      </c>
    </row>
    <row r="2" spans="1:5">
      <c r="A2" s="8">
        <v>1</v>
      </c>
      <c r="B2" s="17" t="s">
        <v>32</v>
      </c>
      <c r="C2" s="8" t="s">
        <v>33</v>
      </c>
      <c r="D2" s="8" t="s">
        <v>34</v>
      </c>
      <c r="E2" s="15">
        <v>1209000</v>
      </c>
    </row>
    <row r="3" spans="1:5">
      <c r="A3" s="8">
        <v>2</v>
      </c>
      <c r="B3" s="17" t="s">
        <v>36</v>
      </c>
      <c r="C3" s="8" t="s">
        <v>37</v>
      </c>
      <c r="D3" s="8" t="s">
        <v>38</v>
      </c>
      <c r="E3" s="15">
        <v>1239000</v>
      </c>
    </row>
    <row r="4" spans="1:5">
      <c r="A4" s="8">
        <v>3</v>
      </c>
      <c r="B4" s="17" t="s">
        <v>39</v>
      </c>
      <c r="C4" s="8" t="s">
        <v>40</v>
      </c>
      <c r="D4" s="8" t="s">
        <v>34</v>
      </c>
      <c r="E4" s="15">
        <v>1209000</v>
      </c>
    </row>
    <row r="5" spans="1:5">
      <c r="A5" s="8">
        <v>4</v>
      </c>
      <c r="B5" s="17" t="s">
        <v>41</v>
      </c>
      <c r="C5" s="8" t="s">
        <v>40</v>
      </c>
      <c r="D5" s="8" t="s">
        <v>34</v>
      </c>
      <c r="E5" s="15">
        <v>1209000</v>
      </c>
    </row>
    <row r="6" spans="1:5">
      <c r="A6" s="16" t="s">
        <v>47</v>
      </c>
      <c r="B6" s="16"/>
      <c r="C6" s="16"/>
      <c r="D6" s="16"/>
      <c r="E6" s="15">
        <f>SUM(E2:E5)</f>
        <v>4866000</v>
      </c>
    </row>
  </sheetData>
  <mergeCells count="1">
    <mergeCell ref="A6:D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2025-06-06T08:52:29Z</dcterms:modified>
</cp:coreProperties>
</file>