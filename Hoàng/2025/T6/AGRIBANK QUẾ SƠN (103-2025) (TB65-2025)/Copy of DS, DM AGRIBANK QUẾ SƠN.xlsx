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G:\DATA-TN\Hoàng\2025\T6\AGRIBANK QUẾ SƠN (103-2025) (TB65-2025)\"/>
    </mc:Choice>
  </mc:AlternateContent>
  <xr:revisionPtr revIDLastSave="0" documentId="8_{F20E6387-169E-4DD8-B0AC-B01B4C5EAC7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S" sheetId="1" r:id="rId1"/>
    <sheet name="DM" sheetId="2" r:id="rId2"/>
  </sheets>
  <externalReferences>
    <externalReference r:id="rId3"/>
  </externalReferences>
  <definedNames>
    <definedName name="_xlnm.Print_Area" localSheetId="0">DS!$A$1:$P$17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2" i="1"/>
  <c r="N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L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2" i="1"/>
</calcChain>
</file>

<file path=xl/sharedStrings.xml><?xml version="1.0" encoding="utf-8"?>
<sst xmlns="http://schemas.openxmlformats.org/spreadsheetml/2006/main" count="225" uniqueCount="186">
  <si>
    <t>STT</t>
  </si>
  <si>
    <t>HỌ TÊN</t>
  </si>
  <si>
    <t>CHỨC VỤ</t>
  </si>
  <si>
    <t>GIỚI TÍNH</t>
  </si>
  <si>
    <t>NĂM SINH</t>
  </si>
  <si>
    <t>SỐ ĐIỆN THOẠI</t>
  </si>
  <si>
    <t>Nguyễn Văn Hường</t>
  </si>
  <si>
    <t>Giám đốc</t>
  </si>
  <si>
    <t>Nam</t>
  </si>
  <si>
    <t>1974</t>
  </si>
  <si>
    <t>0905115922</t>
  </si>
  <si>
    <t>Nguyễn Tiến Dũng</t>
  </si>
  <si>
    <t>Phó Giám đốc</t>
  </si>
  <si>
    <t>1973</t>
  </si>
  <si>
    <t>0905026086</t>
  </si>
  <si>
    <t>Trương Vĩnh Ngộ</t>
  </si>
  <si>
    <t>TP KTNQ</t>
  </si>
  <si>
    <t>1964</t>
  </si>
  <si>
    <t>0983685207</t>
  </si>
  <si>
    <t>Trần Ninh</t>
  </si>
  <si>
    <t>TP KH</t>
  </si>
  <si>
    <t>1966</t>
  </si>
  <si>
    <t>0903585036</t>
  </si>
  <si>
    <t>Nguyễn Đình Chấn</t>
  </si>
  <si>
    <t>PTP KH</t>
  </si>
  <si>
    <t>1965</t>
  </si>
  <si>
    <t>0905335057</t>
  </si>
  <si>
    <t>Trương Thị Thanh</t>
  </si>
  <si>
    <t>Nữ</t>
  </si>
  <si>
    <t>1976</t>
  </si>
  <si>
    <t>0935840976</t>
  </si>
  <si>
    <t>Lê Thị Vỹ Lê</t>
  </si>
  <si>
    <t>NV KTNQ</t>
  </si>
  <si>
    <t>1983</t>
  </si>
  <si>
    <t>0766697439</t>
  </si>
  <si>
    <t>Trần Thị Ngọc Yến</t>
  </si>
  <si>
    <t>1981</t>
  </si>
  <si>
    <t>0935321156</t>
  </si>
  <si>
    <t>Trần Thị Mỹ Lệ</t>
  </si>
  <si>
    <t>NV Phòng KH</t>
  </si>
  <si>
    <t>1994</t>
  </si>
  <si>
    <t>0935386123</t>
  </si>
  <si>
    <t>Nguyễn Thị Mai Phương</t>
  </si>
  <si>
    <t>Thủ quỹ</t>
  </si>
  <si>
    <t>0386814625</t>
  </si>
  <si>
    <t>Hồ Thị Hiếu</t>
  </si>
  <si>
    <t>1993</t>
  </si>
  <si>
    <t>0989250418</t>
  </si>
  <si>
    <t>Trương Thị Thủy Tiên</t>
  </si>
  <si>
    <t>0978426831</t>
  </si>
  <si>
    <t>Trần Thị Ngân Anh</t>
  </si>
  <si>
    <t>1991</t>
  </si>
  <si>
    <t>0905150046</t>
  </si>
  <si>
    <t>Võ Anh Kiệt</t>
  </si>
  <si>
    <t>2000</t>
  </si>
  <si>
    <t>0814270232</t>
  </si>
  <si>
    <t>Lê Thị Hồng Phương</t>
  </si>
  <si>
    <t>1998</t>
  </si>
  <si>
    <t>0942545397</t>
  </si>
  <si>
    <t>Phạm Thanh Tuấn</t>
  </si>
  <si>
    <t>1990</t>
  </si>
  <si>
    <t>0909526089</t>
  </si>
  <si>
    <t>Khám tổng quát</t>
  </si>
  <si>
    <t>Chụp X-Quang tim phổi kỹ thuật số (Hãng Fuji - Nhật)</t>
  </si>
  <si>
    <t>Tổng phân tích tế bào máu bằng máy Laser. (Xét nghiệm công thức máu toàn phần) (Hãng Sysmec -  Thụy Sỹ - Hóa chất chính hãng)</t>
  </si>
  <si>
    <t>Định lượng GLUCOSE máu. (Hãng Roche - Thụy sỹ - Hóa chất chính hãng - Hóa chất chính hãng)</t>
  </si>
  <si>
    <t>Nước tiểu 10 thông số. (Xét nghiệm nước tiểu toàn phần) (Hãng Roche - Thụy sỹ - Hóa chất chính hãng - Hóa chất chính hãng - Hóa chất chính hãng)</t>
  </si>
  <si>
    <t>AST ( SGOT )  (Hãng Roche - Thụy sỹ - Hóa chất chính hãng - Hóa chất chính hãng)</t>
  </si>
  <si>
    <t>ALT ( SGPT )  (Hãng Roche - Thụy sỹ - Hóa chất chính hãng - Hóa chất chính hãng)</t>
  </si>
  <si>
    <t>Định lượng CREATINIE máu (Hãng Roche - Thụy sỹ - Hóa chất chính hãng - Hóa chất chính hãng)</t>
  </si>
  <si>
    <t>Khám phụ khoa, khám vú</t>
  </si>
  <si>
    <t xml:space="preserve">Tổng kết và tư vấn sức khỏe </t>
  </si>
  <si>
    <t>HbA1C (Hãng Roche - Thụy sỹ - Hóa chất chính hãng - Hóa chất chính hãng)</t>
  </si>
  <si>
    <t>Định lượng ACID URIC máu (Hãng Roche - Thụy sỹ - Hóa chất chính hãng - Hóa chất chính hãng)</t>
  </si>
  <si>
    <t>Gamma GT  (Hãng Roche - Thụy sỹ - Hóa chất chính hãng - Hóa chất chính hãng)</t>
  </si>
  <si>
    <t>Billirubin (Hãng Roche - Thụy sỹ - Hóa chất chính hãng - Hóa chất chính hãng)</t>
  </si>
  <si>
    <t>Urea</t>
  </si>
  <si>
    <t>Độ lọc cầu thận - eGFR (MDRD)</t>
  </si>
  <si>
    <t>HDL-cholesterol  (Hãng Roche - Thụy sỹ - Hóa chất chính hãng)</t>
  </si>
  <si>
    <t xml:space="preserve">LDL-cholesterol   (Hãng Roche - Thụy sỹ - Hóa chất chính hãng)    </t>
  </si>
  <si>
    <t xml:space="preserve">VLDL - cholesterol   (Hãng Roche - Thụy sỹ - Hóa chất chính hãng)    </t>
  </si>
  <si>
    <t>Cholesterol TP (Hãng Roche - Thụy sỹ - Hóa chất chính hãng)</t>
  </si>
  <si>
    <t>Triglycerid (Hãng Roche - Thụy sỹ - Hóa chất chính hãng)</t>
  </si>
  <si>
    <t>Định nhóm máu ABO, Rh (D) bằng phương pháp Gelcard</t>
  </si>
  <si>
    <t>Xét nghiệm máu lắng (VS)</t>
  </si>
  <si>
    <t>Xét nghiệm Định lương CRP (C-Reactive Protein)</t>
  </si>
  <si>
    <t>Đo hoạt độ LDH ( Lactat dehydrogenase);</t>
  </si>
  <si>
    <t xml:space="preserve">Xét nghiệm Prothrombin (PT: Prothrombin Time) </t>
  </si>
  <si>
    <t>Xét nghiệm thromboplastin một phần hoạt hóa (APTT: Activated Partial Thromboplastin Time)</t>
  </si>
  <si>
    <t xml:space="preserve">Xét nghiệm định lượng Fibrinogen </t>
  </si>
  <si>
    <t>Xét nghiệm Định lượng D-Dimer</t>
  </si>
  <si>
    <t>Điện giải đồ (Na, K, Cl)</t>
  </si>
  <si>
    <t>Fe (Sắt huyết thanh)</t>
  </si>
  <si>
    <t>Ferritin</t>
  </si>
  <si>
    <t>Zn</t>
  </si>
  <si>
    <t>Định lượng Can xi ion tự do trong máu</t>
  </si>
  <si>
    <t>Định lượng Can xi toàn phần</t>
  </si>
  <si>
    <t>CEA trong máu (Hãng Roche - Thụy sỹ - Hóa chất chính hãng)</t>
  </si>
  <si>
    <t>Ca 72-4  trong máu (Hãng Roche - Thụy sỹ - Hóa chất chính hãng)</t>
  </si>
  <si>
    <t>Pepsinogene (UT Dạ Dày)</t>
  </si>
  <si>
    <t>AFP  trong máu (Hãng Roche - Thụy sỹ - Hóa chất chính hãng)</t>
  </si>
  <si>
    <t>Ca 19-9 trong máu (Hãng Roche - Thụy sỹ - Hóa chất chính hãng)</t>
  </si>
  <si>
    <t>ProGRP</t>
  </si>
  <si>
    <t>Total PSA và Free PSA  trong máu (Hãng Roche - Thụy sỹ - Hóa chất chính hãng)</t>
  </si>
  <si>
    <t>CA 125  trong máu (Hãng Roche - Thụy sỹ - Hóa chất chính hãng)</t>
  </si>
  <si>
    <t>ROMA TEST bao gồm: HE4 (Human Epididymal Protein 4)  + CA 125: Đánh giá ung thu buồng trứng</t>
  </si>
  <si>
    <t>Ca 15-3  trong máu (Hãng Roche - Thụy sỹ - Hóa chất chính hãng)</t>
  </si>
  <si>
    <t>SCC (UT Vòm họng, thực quản)</t>
  </si>
  <si>
    <t>TSH  trong máu (Hãng Roche - Thụy sỹ - Hóa chất chính hãng)</t>
  </si>
  <si>
    <t>Free T4 trong máu (Hãng Roche - Thụy sỹ - Hóa chất chính hãng)</t>
  </si>
  <si>
    <t>Total T3 (Hãng Roche - Thụy sỹ - Hóa chất chính hãng)</t>
  </si>
  <si>
    <t>TPO Ab (Antithyroid Peroxidase Antibodies)</t>
  </si>
  <si>
    <t>Xét nghiệm HBsAg (ELISA) (Hãng Roche - Thụy sỹ - Hóa chất chính hãng)</t>
  </si>
  <si>
    <t>Xét nghiệm HBsAg (test nhanh)</t>
  </si>
  <si>
    <t>Anti HBs (Hãng Roche - Thụy sỹ - Hóa chất chính hãng)</t>
  </si>
  <si>
    <t>Xác định DNA trong viêm gan B (HbV-DNA) (Hãng Roche - Thụy sỹ - Hóa chất chính hãng)</t>
  </si>
  <si>
    <t>Anti HCV (test nhanh)</t>
  </si>
  <si>
    <t>Anti HAV-IgM (Chẩn đoán Anti HAV IgM bằng kỹ thuật ELISA)  (Hãng Roche - Thụy sỹ - Hóa chất chính hãng)</t>
  </si>
  <si>
    <t xml:space="preserve">Anti HAV (IgG/IgM) test nhanh </t>
  </si>
  <si>
    <t>Xét nghiệm định lượng kháng thể Sars-Cov-2</t>
  </si>
  <si>
    <t>Helicobacter Pylori IgM</t>
  </si>
  <si>
    <t>Siêu âm màu Bụng - Tổng Quát  (Máy Siemens Sequoia 2022- Đức hiện đại nhất )</t>
  </si>
  <si>
    <t>Siêu âm màu tuyến vú (Máy GE LOGIQ S7 Expert Công  nghệ XDclear đầu dò ma trận siêu nông - Mỹ )</t>
  </si>
  <si>
    <t>Siêu âm Tuyến giáp  (Máy Siemens Sequoia 2022- Đức hiện đại nhất )</t>
  </si>
  <si>
    <t>Điện tâm đồ. (Đo điện tim) 12 kênh (Hãng GE - Mỹ)</t>
  </si>
  <si>
    <t xml:space="preserve">Siêu âm tim 2D tiêu chuẩn (Máy Siemens SC 2000 - Đức hiện đại nhất Việt nam hiện nay) </t>
  </si>
  <si>
    <t>Siêu âm tim 2D tiêu chuẩn kèm đánh giá chức năng toàn diện</t>
  </si>
  <si>
    <t xml:space="preserve">Siêu âm tim 4D ghi đĩa đánh giá cấu trúc và chức năng toàn diện (Máy Siemens SC 2000 - Đức) </t>
  </si>
  <si>
    <t>Siêu âm động tĩnh mạch chi dưới(Máy GE LOGIQ S7 Expert Công  nghệ XDclear đầu dò ma trận siêu nông - Mỹ )</t>
  </si>
  <si>
    <t>Siêu âm động mạch cảnh, đốt sống  (Máy GE LOGIQ S7 Expert Công  nghệ XDclear đầu dò ma trận siêu nông - Mỹ )</t>
  </si>
  <si>
    <t>Chụp XQ cột sống cổ thẳng nghiêng kỹ thuật số (Hãng Fuji - Nhật)</t>
  </si>
  <si>
    <t>Chụp XQ cột sống thắt lưng thẳng nghiêng kỹ thuật sô (Hãng Fuji - Nhật)</t>
  </si>
  <si>
    <t>Chụp XQ khớp gối (2 bên) (Hãng Fuji - Nhật)</t>
  </si>
  <si>
    <t>Chụp nhũ ảnh 3D - Kỹ thuật số MAMOMAT INSPIRATION - Siemens</t>
  </si>
  <si>
    <t>Chụp CT Scanner Ngực</t>
  </si>
  <si>
    <t>Chụp CT Scanner Xoang (Máy ACT Revolution - GE - Mỹ)</t>
  </si>
  <si>
    <t>Chụp CT Scanner Bụng không cản quang (Máy ACT Revolution - GE - Mỹ)</t>
  </si>
  <si>
    <t>Chụp cộng hưởng từ não - mạch não (MRI) sàng lọc đột quỵ (Máy MRI 3.0 Tesla Lumina - Hãng Siemen -Đức)</t>
  </si>
  <si>
    <t>Chụp cộng hưởng từ (MRI) lồng ngực (Máy MRI 3.0 Tesla Lumina - Hãng Siemen -Đức)</t>
  </si>
  <si>
    <t>Đo loãng xương bằng sóng siêu âm (Sonost 3000 - Hàn quốc)</t>
  </si>
  <si>
    <t>Đo xơ hóa gan</t>
  </si>
  <si>
    <t>Đo chức năng hô hấp</t>
  </si>
  <si>
    <t>Đo thính lực đơn âm</t>
  </si>
  <si>
    <t>ASLO</t>
  </si>
  <si>
    <t>RF</t>
  </si>
  <si>
    <t>Nội soi dạ dày không đau (Máy Pentax EPK 3000 có chế độ tầm soát ung thư ISCAN - Nhật)</t>
  </si>
  <si>
    <t>Test hơi thở phát hiện vi khuẩn HP trong dạ dày không xâm lấn</t>
  </si>
  <si>
    <t xml:space="preserve">Nội soi tai mũi họng </t>
  </si>
  <si>
    <t xml:space="preserve">Soi tươi (Soi trực tiếp nhuộm gram): Dịch âm đạo </t>
  </si>
  <si>
    <t>Xét nghiệm tầm soát ung thư cổ tử cung bằng phương pháp Pap Smear</t>
  </si>
  <si>
    <t>Xét nghiệm tế bào âm đạo. (Xét nghiệm chẩn đoán tế bào học bằng phương pháp  nhuộm thinprep)</t>
  </si>
  <si>
    <t xml:space="preserve">Soi Cổ Tử Cung </t>
  </si>
  <si>
    <t xml:space="preserve">Tư vấn và điều trị Tiền mãn kinh và Mãn kinh: </t>
  </si>
  <si>
    <t>Khám Thai</t>
  </si>
  <si>
    <t>Siêu âm thai 4D</t>
  </si>
  <si>
    <t>GENE HBVAX 1ML (Viêm gan B - Việt Nam)</t>
  </si>
  <si>
    <t>DANH MỤC</t>
  </si>
  <si>
    <t>SỐ LƯỢNG</t>
  </si>
  <si>
    <t>Mã NV</t>
  </si>
  <si>
    <t>NV01</t>
  </si>
  <si>
    <t>NV02</t>
  </si>
  <si>
    <t>NV05</t>
  </si>
  <si>
    <t>NV03</t>
  </si>
  <si>
    <t>NV04</t>
  </si>
  <si>
    <t>NV06</t>
  </si>
  <si>
    <t>NV07</t>
  </si>
  <si>
    <t>NV08</t>
  </si>
  <si>
    <t>NV09</t>
  </si>
  <si>
    <t>NV10</t>
  </si>
  <si>
    <t>NV11</t>
  </si>
  <si>
    <t>NV12</t>
  </si>
  <si>
    <t>NV13</t>
  </si>
  <si>
    <t>NV14</t>
  </si>
  <si>
    <t>NV15</t>
  </si>
  <si>
    <t>NV16</t>
  </si>
  <si>
    <t>TT32</t>
  </si>
  <si>
    <t>HẠN MỨC</t>
  </si>
  <si>
    <t>ĐÃ ĐĂNG KÝ XÉT NGHIỆM</t>
  </si>
  <si>
    <t>HẠN MỨ CHỮ</t>
  </si>
  <si>
    <t>ĐKY XN CHỮ</t>
  </si>
  <si>
    <t>Đăng ký TT32 : 477.600 đ</t>
  </si>
  <si>
    <t xml:space="preserve"> </t>
  </si>
  <si>
    <t>ĐÃ ĐĂNG KÝ</t>
  </si>
  <si>
    <t>ĐÃ ĐĂNG KÝ Chữ</t>
  </si>
  <si>
    <t xml:space="preserve">CÒN LẠI </t>
  </si>
  <si>
    <t>CÒN LẠI CHỮ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</si>
</sst>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43" fontId="9" fillId="0" borderId="0" applyFont="0" applyFill="0" applyBorder="0" applyAlignment="0" applyProtection="0"/>
  </cellStyleXfs>
  <cellXfs count="27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 wrapText="1"/>
    </xf>
    <xf numFmtId="0" fontId="3" fillId="2" borderId="1" xfId="1" applyFont="1" applyFill="1" applyBorder="1" applyAlignment="1">
      <alignment horizontal="center" vertical="center" wrapText="1"/>
    </xf>
    <xf numFmtId="49" fontId="3" fillId="2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wrapText="1"/>
    </xf>
    <xf numFmtId="0" fontId="3" fillId="2" borderId="1" xfId="1" applyFont="1" applyFill="1" applyBorder="1" applyAlignment="1">
      <alignment horizontal="center" vertical="center"/>
    </xf>
    <xf numFmtId="164" fontId="4" fillId="0" borderId="1" xfId="2" applyNumberFormat="1" applyFont="1" applyBorder="1"/>
    <xf numFmtId="0" fontId="4" fillId="0" borderId="1" xfId="0" applyFont="1" applyBorder="1"/>
    <xf numFmtId="0" fontId="0" fillId="0" borderId="1" xfId="0" applyBorder="1"/>
    <xf numFmtId="0" fontId="3" fillId="2" borderId="2" xfId="1" applyFont="1" applyFill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Normal 2" xfId="1" xr:uid="{30FC3129-A869-4C87-8AE9-681329A7C26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DATA-TN\Ho&#224;ng\2025\T6\AGRIBANK%20QU&#7870;%20S&#416;N%20(103-2025)%20(TB65-2025)\QUE&#770;&#769;%20SO&#795;N%20(chi&#777;nh%20su&#795;&#777;a)_&#272;A&#774;NG%20KY&#769;%20KHA&#769;M_BV%20THIEN%20NHAN%20-%20BA&#769;O%20GIA&#769;%20DANH%20MU&#803;C%20KHA&#769;M%20QUE&#770;&#769;%20SO&#795;N.xlsx" TargetMode="External"/><Relationship Id="rId1" Type="http://schemas.openxmlformats.org/officeDocument/2006/relationships/externalLinkPath" Target="QUE&#770;&#769;%20SO&#795;N%20(chi&#777;nh%20su&#795;&#777;a)_&#272;A&#774;NG%20KY&#769;%20KHA&#769;M_BV%20THIEN%20NHAN%20-%20BA&#769;O%20GIA&#769;%20DANH%20MU&#803;C%20KHA&#769;M%20QUE&#770;&#769;%20SO&#795;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G"/>
      <sheetName val="UP HT"/>
      <sheetName val="Sheet2"/>
      <sheetName val="DANH MỤC ĐẦY ĐỦ"/>
      <sheetName val="Sheet1"/>
      <sheetName val="DM KHÁM 2025"/>
      <sheetName val="DMK "/>
      <sheetName val="TÍCH CHỌN"/>
    </sheetNames>
    <sheetDataSet>
      <sheetData sheetId="0"/>
      <sheetData sheetId="1">
        <row r="5">
          <cell r="B5" t="str">
            <v>Nguyễn Văn Hường</v>
          </cell>
          <cell r="CW5">
            <v>4178600</v>
          </cell>
        </row>
        <row r="6">
          <cell r="B6" t="str">
            <v>Nguyễn Tiến Dũng</v>
          </cell>
          <cell r="CW6">
            <v>6957800</v>
          </cell>
        </row>
        <row r="7">
          <cell r="B7" t="str">
            <v>Trương Vĩnh Ngộ</v>
          </cell>
          <cell r="CW7">
            <v>6778500</v>
          </cell>
        </row>
        <row r="8">
          <cell r="B8" t="str">
            <v>Trần Ninh</v>
          </cell>
          <cell r="CW8">
            <v>4128900</v>
          </cell>
        </row>
        <row r="9">
          <cell r="B9" t="str">
            <v>Nguyễn Đình Chấn</v>
          </cell>
          <cell r="CW9">
            <v>6778500</v>
          </cell>
        </row>
        <row r="10">
          <cell r="B10" t="str">
            <v>Trương Thị Thanh</v>
          </cell>
          <cell r="CW10">
            <v>6939100</v>
          </cell>
        </row>
        <row r="11">
          <cell r="B11" t="str">
            <v>Lê Thị Vỹ Lê</v>
          </cell>
          <cell r="CW11">
            <v>6271800</v>
          </cell>
        </row>
        <row r="12">
          <cell r="B12" t="str">
            <v>Trần Thị Ngọc Yến</v>
          </cell>
          <cell r="CW12">
            <v>12585700</v>
          </cell>
        </row>
        <row r="13">
          <cell r="B13" t="str">
            <v>Trần Thị Mỹ Lệ</v>
          </cell>
          <cell r="CW13">
            <v>6641900</v>
          </cell>
        </row>
        <row r="14">
          <cell r="B14" t="str">
            <v>Nguyễn Thị Mai Phương</v>
          </cell>
          <cell r="CW14">
            <v>6994000</v>
          </cell>
        </row>
        <row r="15">
          <cell r="B15" t="str">
            <v>Hồ Thị Hiếu</v>
          </cell>
          <cell r="CW15">
            <v>6957100</v>
          </cell>
        </row>
        <row r="16">
          <cell r="B16" t="str">
            <v>Trương Thị Thủy Tiên</v>
          </cell>
          <cell r="CW16">
            <v>3170400</v>
          </cell>
        </row>
        <row r="17">
          <cell r="B17" t="str">
            <v>Trần Thị Ngân Anh</v>
          </cell>
          <cell r="CW17">
            <v>6992200</v>
          </cell>
        </row>
        <row r="18">
          <cell r="B18" t="str">
            <v>Võ Anh Kiệt</v>
          </cell>
          <cell r="CW18">
            <v>4008100</v>
          </cell>
        </row>
        <row r="19">
          <cell r="B19" t="str">
            <v>Lê Thị Hồng Phương</v>
          </cell>
          <cell r="CW19">
            <v>6992200</v>
          </cell>
        </row>
        <row r="20">
          <cell r="B20" t="str">
            <v>Phạm Thanh Tuấn</v>
          </cell>
          <cell r="CW20">
            <v>3983100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7"/>
  <sheetViews>
    <sheetView tabSelected="1" view="pageBreakPreview" topLeftCell="D1" zoomScaleNormal="100" zoomScaleSheetLayoutView="100" workbookViewId="0">
      <selection activeCell="P10" sqref="P10"/>
    </sheetView>
  </sheetViews>
  <sheetFormatPr defaultRowHeight="15" x14ac:dyDescent="0.25"/>
  <cols>
    <col min="1" max="1" width="5" bestFit="1" customWidth="1"/>
    <col min="2" max="2" width="7.7109375" bestFit="1" customWidth="1"/>
    <col min="3" max="3" width="22.28515625" bestFit="1" customWidth="1"/>
    <col min="4" max="4" width="13.85546875" bestFit="1" customWidth="1"/>
    <col min="5" max="6" width="12.140625" bestFit="1" customWidth="1"/>
    <col min="7" max="7" width="18" bestFit="1" customWidth="1"/>
    <col min="8" max="8" width="13.28515625" bestFit="1" customWidth="1"/>
    <col min="9" max="9" width="23.5703125" bestFit="1" customWidth="1"/>
    <col min="10" max="10" width="15.28515625" bestFit="1" customWidth="1"/>
    <col min="12" max="12" width="10.85546875" bestFit="1" customWidth="1"/>
    <col min="13" max="13" width="11.140625" bestFit="1" customWidth="1"/>
    <col min="14" max="15" width="10.5703125" bestFit="1" customWidth="1"/>
    <col min="16" max="16" width="19.42578125" customWidth="1"/>
  </cols>
  <sheetData>
    <row r="1" spans="1:16" ht="42.75" x14ac:dyDescent="0.25">
      <c r="A1" s="8" t="s">
        <v>0</v>
      </c>
      <c r="B1" s="22" t="s">
        <v>158</v>
      </c>
      <c r="C1" s="8" t="s">
        <v>1</v>
      </c>
      <c r="D1" s="8" t="s">
        <v>2</v>
      </c>
      <c r="E1" s="8" t="s">
        <v>3</v>
      </c>
      <c r="F1" s="9" t="s">
        <v>4</v>
      </c>
      <c r="G1" s="8" t="s">
        <v>5</v>
      </c>
      <c r="H1" s="8" t="s">
        <v>176</v>
      </c>
      <c r="I1" s="8" t="s">
        <v>175</v>
      </c>
      <c r="J1" s="8" t="s">
        <v>177</v>
      </c>
      <c r="K1" s="8" t="s">
        <v>178</v>
      </c>
      <c r="L1" s="8" t="s">
        <v>179</v>
      </c>
      <c r="M1" s="26" t="s">
        <v>182</v>
      </c>
      <c r="N1" s="26" t="s">
        <v>183</v>
      </c>
      <c r="O1" s="26" t="s">
        <v>184</v>
      </c>
      <c r="P1" s="26" t="s">
        <v>185</v>
      </c>
    </row>
    <row r="2" spans="1:16" x14ac:dyDescent="0.25">
      <c r="A2" s="1">
        <v>1</v>
      </c>
      <c r="B2" s="2" t="s">
        <v>159</v>
      </c>
      <c r="C2" s="6" t="s">
        <v>6</v>
      </c>
      <c r="D2" s="2" t="s">
        <v>7</v>
      </c>
      <c r="E2" s="3" t="s">
        <v>8</v>
      </c>
      <c r="F2" s="4" t="s">
        <v>9</v>
      </c>
      <c r="G2" s="4" t="s">
        <v>10</v>
      </c>
      <c r="H2" s="23">
        <v>4000000</v>
      </c>
      <c r="I2" s="24" t="s">
        <v>180</v>
      </c>
      <c r="J2" s="23">
        <v>2730600</v>
      </c>
      <c r="K2" s="25" t="str">
        <f>TEXT(H2,"#\.###\.###")</f>
        <v>4.000.000</v>
      </c>
      <c r="L2" s="25" t="str">
        <f>TEXT(J2,"#\.###\.###")</f>
        <v>2.730.600</v>
      </c>
      <c r="M2">
        <f>_xlfn.XLOOKUP(C2,'[1]UP HT'!$B$5:$B$20,'[1]UP HT'!$CW$5:$CW$20,,0)</f>
        <v>4178600</v>
      </c>
      <c r="N2" t="str">
        <f>TEXT(M2,"#\.###\.###")</f>
        <v>4.178.600</v>
      </c>
      <c r="O2">
        <f>K2-M2</f>
        <v>-178600</v>
      </c>
      <c r="P2" t="str">
        <f>TEXT(O2,"#\.###\.###")</f>
        <v>-.178.600</v>
      </c>
    </row>
    <row r="3" spans="1:16" x14ac:dyDescent="0.25">
      <c r="A3" s="1">
        <v>2</v>
      </c>
      <c r="B3" s="2" t="s">
        <v>160</v>
      </c>
      <c r="C3" s="6" t="s">
        <v>11</v>
      </c>
      <c r="D3" s="2" t="s">
        <v>12</v>
      </c>
      <c r="E3" s="3" t="s">
        <v>8</v>
      </c>
      <c r="F3" s="4" t="s">
        <v>13</v>
      </c>
      <c r="G3" s="4" t="s">
        <v>14</v>
      </c>
      <c r="H3" s="23">
        <v>7000000</v>
      </c>
      <c r="I3" s="24" t="s">
        <v>180</v>
      </c>
      <c r="J3" s="23">
        <v>3645000</v>
      </c>
      <c r="K3" s="25" t="str">
        <f t="shared" ref="K3:K17" si="0">TEXT(H3,"#\.###\.###")</f>
        <v>7.000.000</v>
      </c>
      <c r="L3" s="25" t="str">
        <f t="shared" ref="L3:L17" si="1">TEXT(J3,"#\.###\.###")</f>
        <v>3.645.000</v>
      </c>
      <c r="M3">
        <f>_xlfn.XLOOKUP(C3,'[1]UP HT'!$B$5:$B$20,'[1]UP HT'!$CW$5:$CW$20,,0)</f>
        <v>6957800</v>
      </c>
      <c r="N3" t="str">
        <f t="shared" ref="N3:N17" si="2">TEXT(M3,"#\.###\.###")</f>
        <v>6.957.800</v>
      </c>
      <c r="O3">
        <f t="shared" ref="O3:O17" si="3">K3-M3</f>
        <v>42200</v>
      </c>
      <c r="P3" t="str">
        <f t="shared" ref="P3:P17" si="4">TEXT(O3,"#\.###\.###")</f>
        <v>.42.200</v>
      </c>
    </row>
    <row r="4" spans="1:16" x14ac:dyDescent="0.25">
      <c r="A4" s="1">
        <v>3</v>
      </c>
      <c r="B4" s="2" t="s">
        <v>162</v>
      </c>
      <c r="C4" s="6" t="s">
        <v>15</v>
      </c>
      <c r="D4" s="2" t="s">
        <v>16</v>
      </c>
      <c r="E4" s="3" t="s">
        <v>8</v>
      </c>
      <c r="F4" s="4" t="s">
        <v>17</v>
      </c>
      <c r="G4" s="4" t="s">
        <v>18</v>
      </c>
      <c r="H4" s="23">
        <v>7000000</v>
      </c>
      <c r="I4" s="24" t="s">
        <v>180</v>
      </c>
      <c r="J4" s="23">
        <v>2687400</v>
      </c>
      <c r="K4" s="25" t="str">
        <f t="shared" si="0"/>
        <v>7.000.000</v>
      </c>
      <c r="L4" s="25" t="str">
        <f t="shared" si="1"/>
        <v>2.687.400</v>
      </c>
      <c r="M4">
        <f>_xlfn.XLOOKUP(C4,'[1]UP HT'!$B$5:$B$20,'[1]UP HT'!$CW$5:$CW$20,,0)</f>
        <v>6778500</v>
      </c>
      <c r="N4" t="str">
        <f t="shared" si="2"/>
        <v>6.778.500</v>
      </c>
      <c r="O4">
        <f t="shared" si="3"/>
        <v>221500</v>
      </c>
      <c r="P4" t="str">
        <f t="shared" si="4"/>
        <v>.221.500</v>
      </c>
    </row>
    <row r="5" spans="1:16" x14ac:dyDescent="0.25">
      <c r="A5" s="1">
        <v>4</v>
      </c>
      <c r="B5" s="2" t="s">
        <v>163</v>
      </c>
      <c r="C5" s="7" t="s">
        <v>19</v>
      </c>
      <c r="D5" s="1" t="s">
        <v>20</v>
      </c>
      <c r="E5" s="3" t="s">
        <v>8</v>
      </c>
      <c r="F5" s="4" t="s">
        <v>21</v>
      </c>
      <c r="G5" s="4" t="s">
        <v>22</v>
      </c>
      <c r="H5" s="23">
        <v>7000000</v>
      </c>
      <c r="I5" s="24" t="s">
        <v>180</v>
      </c>
      <c r="J5" s="23">
        <v>231300</v>
      </c>
      <c r="K5" s="25" t="str">
        <f t="shared" si="0"/>
        <v>7.000.000</v>
      </c>
      <c r="L5" s="25" t="str">
        <f t="shared" si="1"/>
        <v>.231.300</v>
      </c>
      <c r="M5">
        <f>_xlfn.XLOOKUP(C5,'[1]UP HT'!$B$5:$B$20,'[1]UP HT'!$CW$5:$CW$20,,0)</f>
        <v>4128900</v>
      </c>
      <c r="N5" t="str">
        <f t="shared" si="2"/>
        <v>4.128.900</v>
      </c>
      <c r="O5">
        <f t="shared" si="3"/>
        <v>2871100</v>
      </c>
      <c r="P5" t="str">
        <f t="shared" si="4"/>
        <v>2.871.100</v>
      </c>
    </row>
    <row r="6" spans="1:16" x14ac:dyDescent="0.25">
      <c r="A6" s="1">
        <v>5</v>
      </c>
      <c r="B6" s="2" t="s">
        <v>161</v>
      </c>
      <c r="C6" s="6" t="s">
        <v>23</v>
      </c>
      <c r="D6" s="2" t="s">
        <v>24</v>
      </c>
      <c r="E6" s="3" t="s">
        <v>8</v>
      </c>
      <c r="F6" s="4" t="s">
        <v>25</v>
      </c>
      <c r="G6" s="4" t="s">
        <v>26</v>
      </c>
      <c r="H6" s="23">
        <v>7000000</v>
      </c>
      <c r="I6" s="24" t="s">
        <v>180</v>
      </c>
      <c r="J6" s="23">
        <v>2687400</v>
      </c>
      <c r="K6" s="25" t="str">
        <f t="shared" si="0"/>
        <v>7.000.000</v>
      </c>
      <c r="L6" s="25" t="str">
        <f t="shared" si="1"/>
        <v>2.687.400</v>
      </c>
      <c r="M6">
        <f>_xlfn.XLOOKUP(C6,'[1]UP HT'!$B$5:$B$20,'[1]UP HT'!$CW$5:$CW$20,,0)</f>
        <v>6778500</v>
      </c>
      <c r="N6" t="str">
        <f t="shared" si="2"/>
        <v>6.778.500</v>
      </c>
      <c r="O6">
        <f t="shared" si="3"/>
        <v>221500</v>
      </c>
      <c r="P6" t="str">
        <f t="shared" si="4"/>
        <v>.221.500</v>
      </c>
    </row>
    <row r="7" spans="1:16" x14ac:dyDescent="0.25">
      <c r="A7" s="1">
        <v>6</v>
      </c>
      <c r="B7" s="2" t="s">
        <v>164</v>
      </c>
      <c r="C7" s="6" t="s">
        <v>27</v>
      </c>
      <c r="D7" s="2" t="s">
        <v>181</v>
      </c>
      <c r="E7" s="3" t="s">
        <v>28</v>
      </c>
      <c r="F7" s="4" t="s">
        <v>29</v>
      </c>
      <c r="G7" s="4" t="s">
        <v>30</v>
      </c>
      <c r="H7" s="23">
        <v>8000000</v>
      </c>
      <c r="I7" s="24" t="s">
        <v>180</v>
      </c>
      <c r="J7" s="23">
        <v>3194100</v>
      </c>
      <c r="K7" s="25" t="str">
        <f t="shared" si="0"/>
        <v>8.000.000</v>
      </c>
      <c r="L7" s="25" t="str">
        <f t="shared" si="1"/>
        <v>3.194.100</v>
      </c>
      <c r="M7">
        <f>_xlfn.XLOOKUP(C7,'[1]UP HT'!$B$5:$B$20,'[1]UP HT'!$CW$5:$CW$20,,0)</f>
        <v>6939100</v>
      </c>
      <c r="N7" t="str">
        <f t="shared" si="2"/>
        <v>6.939.100</v>
      </c>
      <c r="O7">
        <f t="shared" si="3"/>
        <v>1060900</v>
      </c>
      <c r="P7" t="str">
        <f t="shared" si="4"/>
        <v>1.060.900</v>
      </c>
    </row>
    <row r="8" spans="1:16" x14ac:dyDescent="0.25">
      <c r="A8" s="1">
        <v>7</v>
      </c>
      <c r="B8" s="2" t="s">
        <v>165</v>
      </c>
      <c r="C8" s="6" t="s">
        <v>31</v>
      </c>
      <c r="D8" s="2" t="s">
        <v>32</v>
      </c>
      <c r="E8" s="3" t="s">
        <v>28</v>
      </c>
      <c r="F8" s="4" t="s">
        <v>33</v>
      </c>
      <c r="G8" s="4" t="s">
        <v>34</v>
      </c>
      <c r="H8" s="23">
        <v>8000000</v>
      </c>
      <c r="I8" s="24" t="s">
        <v>180</v>
      </c>
      <c r="J8" s="23">
        <v>439200</v>
      </c>
      <c r="K8" s="25" t="str">
        <f t="shared" si="0"/>
        <v>8.000.000</v>
      </c>
      <c r="L8" s="25" t="str">
        <f t="shared" si="1"/>
        <v>.439.200</v>
      </c>
      <c r="M8">
        <f>_xlfn.XLOOKUP(C8,'[1]UP HT'!$B$5:$B$20,'[1]UP HT'!$CW$5:$CW$20,,0)</f>
        <v>6271800</v>
      </c>
      <c r="N8" t="str">
        <f t="shared" si="2"/>
        <v>6.271.800</v>
      </c>
      <c r="O8">
        <f t="shared" si="3"/>
        <v>1728200</v>
      </c>
      <c r="P8" t="str">
        <f t="shared" si="4"/>
        <v>1.728.200</v>
      </c>
    </row>
    <row r="9" spans="1:16" x14ac:dyDescent="0.25">
      <c r="A9" s="1">
        <v>8</v>
      </c>
      <c r="B9" s="2" t="s">
        <v>166</v>
      </c>
      <c r="C9" s="6" t="s">
        <v>35</v>
      </c>
      <c r="D9" s="2" t="s">
        <v>32</v>
      </c>
      <c r="E9" s="3" t="s">
        <v>28</v>
      </c>
      <c r="F9" s="4" t="s">
        <v>36</v>
      </c>
      <c r="G9" s="4" t="s">
        <v>37</v>
      </c>
      <c r="H9" s="23">
        <v>8000000</v>
      </c>
      <c r="I9" s="24" t="s">
        <v>180</v>
      </c>
      <c r="J9" s="23">
        <v>3919500</v>
      </c>
      <c r="K9" s="25" t="str">
        <f t="shared" si="0"/>
        <v>8.000.000</v>
      </c>
      <c r="L9" s="25" t="str">
        <f t="shared" si="1"/>
        <v>3.919.500</v>
      </c>
      <c r="M9">
        <f>_xlfn.XLOOKUP(C9,'[1]UP HT'!$B$5:$B$20,'[1]UP HT'!$CW$5:$CW$20,,0)</f>
        <v>12585700</v>
      </c>
      <c r="N9" t="str">
        <f t="shared" si="2"/>
        <v>12.585.700</v>
      </c>
      <c r="O9">
        <f t="shared" si="3"/>
        <v>-4585700</v>
      </c>
      <c r="P9" t="str">
        <f t="shared" si="4"/>
        <v>-4.585.700</v>
      </c>
    </row>
    <row r="10" spans="1:16" x14ac:dyDescent="0.25">
      <c r="A10" s="1">
        <v>9</v>
      </c>
      <c r="B10" s="2" t="s">
        <v>167</v>
      </c>
      <c r="C10" s="6" t="s">
        <v>38</v>
      </c>
      <c r="D10" s="2" t="s">
        <v>39</v>
      </c>
      <c r="E10" s="3" t="s">
        <v>28</v>
      </c>
      <c r="F10" s="4" t="s">
        <v>40</v>
      </c>
      <c r="G10" s="4" t="s">
        <v>41</v>
      </c>
      <c r="H10" s="23">
        <v>7000000</v>
      </c>
      <c r="I10" s="24" t="s">
        <v>180</v>
      </c>
      <c r="J10" s="23">
        <v>2713500</v>
      </c>
      <c r="K10" s="25" t="str">
        <f t="shared" si="0"/>
        <v>7.000.000</v>
      </c>
      <c r="L10" s="25" t="str">
        <f t="shared" si="1"/>
        <v>2.713.500</v>
      </c>
      <c r="M10">
        <f>_xlfn.XLOOKUP(C10,'[1]UP HT'!$B$5:$B$20,'[1]UP HT'!$CW$5:$CW$20,,0)</f>
        <v>6641900</v>
      </c>
      <c r="N10" t="str">
        <f t="shared" si="2"/>
        <v>6.641.900</v>
      </c>
      <c r="O10">
        <f t="shared" si="3"/>
        <v>358100</v>
      </c>
      <c r="P10" t="str">
        <f t="shared" si="4"/>
        <v>.358.100</v>
      </c>
    </row>
    <row r="11" spans="1:16" x14ac:dyDescent="0.25">
      <c r="A11" s="1">
        <v>10</v>
      </c>
      <c r="B11" s="2" t="s">
        <v>168</v>
      </c>
      <c r="C11" s="6" t="s">
        <v>42</v>
      </c>
      <c r="D11" s="2" t="s">
        <v>43</v>
      </c>
      <c r="E11" s="3" t="s">
        <v>28</v>
      </c>
      <c r="F11" s="4" t="s">
        <v>40</v>
      </c>
      <c r="G11" s="4" t="s">
        <v>44</v>
      </c>
      <c r="H11" s="23">
        <v>8000000</v>
      </c>
      <c r="I11" s="24" t="s">
        <v>180</v>
      </c>
      <c r="J11" s="23">
        <v>2394900</v>
      </c>
      <c r="K11" s="25" t="str">
        <f t="shared" si="0"/>
        <v>8.000.000</v>
      </c>
      <c r="L11" s="25" t="str">
        <f t="shared" si="1"/>
        <v>2.394.900</v>
      </c>
      <c r="M11">
        <f>_xlfn.XLOOKUP(C11,'[1]UP HT'!$B$5:$B$20,'[1]UP HT'!$CW$5:$CW$20,,0)</f>
        <v>6994000</v>
      </c>
      <c r="N11" t="str">
        <f t="shared" si="2"/>
        <v>6.994.000</v>
      </c>
      <c r="O11">
        <f t="shared" si="3"/>
        <v>1006000</v>
      </c>
      <c r="P11" t="str">
        <f t="shared" si="4"/>
        <v>1.006.000</v>
      </c>
    </row>
    <row r="12" spans="1:16" x14ac:dyDescent="0.25">
      <c r="A12" s="1">
        <v>11</v>
      </c>
      <c r="B12" s="2" t="s">
        <v>169</v>
      </c>
      <c r="C12" s="6" t="s">
        <v>45</v>
      </c>
      <c r="D12" s="2" t="s">
        <v>32</v>
      </c>
      <c r="E12" s="3" t="s">
        <v>28</v>
      </c>
      <c r="F12" s="4" t="s">
        <v>46</v>
      </c>
      <c r="G12" s="4" t="s">
        <v>47</v>
      </c>
      <c r="H12" s="23">
        <v>7000000</v>
      </c>
      <c r="I12" s="24" t="s">
        <v>180</v>
      </c>
      <c r="J12" s="23">
        <v>1584900</v>
      </c>
      <c r="K12" s="25" t="str">
        <f t="shared" si="0"/>
        <v>7.000.000</v>
      </c>
      <c r="L12" s="25" t="str">
        <f t="shared" si="1"/>
        <v>1.584.900</v>
      </c>
      <c r="M12">
        <f>_xlfn.XLOOKUP(C12,'[1]UP HT'!$B$5:$B$20,'[1]UP HT'!$CW$5:$CW$20,,0)</f>
        <v>6957100</v>
      </c>
      <c r="N12" t="str">
        <f t="shared" si="2"/>
        <v>6.957.100</v>
      </c>
      <c r="O12">
        <f t="shared" si="3"/>
        <v>42900</v>
      </c>
      <c r="P12" t="str">
        <f t="shared" si="4"/>
        <v>.42.900</v>
      </c>
    </row>
    <row r="13" spans="1:16" x14ac:dyDescent="0.25">
      <c r="A13" s="1">
        <v>12</v>
      </c>
      <c r="B13" s="2" t="s">
        <v>170</v>
      </c>
      <c r="C13" s="6" t="s">
        <v>48</v>
      </c>
      <c r="D13" s="2" t="s">
        <v>39</v>
      </c>
      <c r="E13" s="3" t="s">
        <v>28</v>
      </c>
      <c r="F13" s="4" t="s">
        <v>46</v>
      </c>
      <c r="G13" s="4" t="s">
        <v>49</v>
      </c>
      <c r="H13" s="23">
        <v>7000000</v>
      </c>
      <c r="I13" s="24" t="s">
        <v>180</v>
      </c>
      <c r="J13" s="23">
        <v>294300</v>
      </c>
      <c r="K13" s="25" t="str">
        <f t="shared" si="0"/>
        <v>7.000.000</v>
      </c>
      <c r="L13" s="25" t="str">
        <f t="shared" si="1"/>
        <v>.294.300</v>
      </c>
      <c r="M13">
        <f>_xlfn.XLOOKUP(C13,'[1]UP HT'!$B$5:$B$20,'[1]UP HT'!$CW$5:$CW$20,,0)</f>
        <v>3170400</v>
      </c>
      <c r="N13" t="str">
        <f t="shared" si="2"/>
        <v>3.170.400</v>
      </c>
      <c r="O13">
        <f t="shared" si="3"/>
        <v>3829600</v>
      </c>
      <c r="P13" t="str">
        <f t="shared" si="4"/>
        <v>3.829.600</v>
      </c>
    </row>
    <row r="14" spans="1:16" x14ac:dyDescent="0.25">
      <c r="A14" s="1">
        <v>13</v>
      </c>
      <c r="B14" s="2" t="s">
        <v>171</v>
      </c>
      <c r="C14" s="6" t="s">
        <v>50</v>
      </c>
      <c r="D14" s="2" t="s">
        <v>32</v>
      </c>
      <c r="E14" s="3" t="s">
        <v>28</v>
      </c>
      <c r="F14" s="4" t="s">
        <v>51</v>
      </c>
      <c r="G14" s="4" t="s">
        <v>52</v>
      </c>
      <c r="H14" s="23">
        <v>8000000</v>
      </c>
      <c r="I14" s="24" t="s">
        <v>180</v>
      </c>
      <c r="J14" s="23">
        <v>2114100</v>
      </c>
      <c r="K14" s="25" t="str">
        <f t="shared" si="0"/>
        <v>8.000.000</v>
      </c>
      <c r="L14" s="25" t="str">
        <f t="shared" si="1"/>
        <v>2.114.100</v>
      </c>
      <c r="M14">
        <f>_xlfn.XLOOKUP(C14,'[1]UP HT'!$B$5:$B$20,'[1]UP HT'!$CW$5:$CW$20,,0)</f>
        <v>6992200</v>
      </c>
      <c r="N14" t="str">
        <f t="shared" si="2"/>
        <v>6.992.200</v>
      </c>
      <c r="O14">
        <f t="shared" si="3"/>
        <v>1007800</v>
      </c>
      <c r="P14" t="str">
        <f t="shared" si="4"/>
        <v>1.007.800</v>
      </c>
    </row>
    <row r="15" spans="1:16" x14ac:dyDescent="0.25">
      <c r="A15" s="1">
        <v>14</v>
      </c>
      <c r="B15" s="2" t="s">
        <v>172</v>
      </c>
      <c r="C15" s="6" t="s">
        <v>53</v>
      </c>
      <c r="D15" s="2" t="s">
        <v>39</v>
      </c>
      <c r="E15" s="3" t="s">
        <v>8</v>
      </c>
      <c r="F15" s="4" t="s">
        <v>54</v>
      </c>
      <c r="G15" s="4" t="s">
        <v>55</v>
      </c>
      <c r="H15" s="23">
        <v>4000000</v>
      </c>
      <c r="I15" s="24" t="s">
        <v>180</v>
      </c>
      <c r="J15" s="23">
        <v>2478600</v>
      </c>
      <c r="K15" s="25" t="str">
        <f t="shared" si="0"/>
        <v>4.000.000</v>
      </c>
      <c r="L15" s="25" t="str">
        <f t="shared" si="1"/>
        <v>2.478.600</v>
      </c>
      <c r="M15">
        <f>_xlfn.XLOOKUP(C15,'[1]UP HT'!$B$5:$B$20,'[1]UP HT'!$CW$5:$CW$20,,0)</f>
        <v>4008100</v>
      </c>
      <c r="N15" t="str">
        <f t="shared" si="2"/>
        <v>4.008.100</v>
      </c>
      <c r="O15">
        <f t="shared" si="3"/>
        <v>-8100</v>
      </c>
      <c r="P15" t="str">
        <f t="shared" si="4"/>
        <v>-.8.100</v>
      </c>
    </row>
    <row r="16" spans="1:16" x14ac:dyDescent="0.25">
      <c r="A16" s="1">
        <v>15</v>
      </c>
      <c r="B16" s="2" t="s">
        <v>173</v>
      </c>
      <c r="C16" s="6" t="s">
        <v>56</v>
      </c>
      <c r="D16" s="2" t="s">
        <v>39</v>
      </c>
      <c r="E16" s="3" t="s">
        <v>28</v>
      </c>
      <c r="F16" s="4" t="s">
        <v>57</v>
      </c>
      <c r="G16" s="5" t="s">
        <v>58</v>
      </c>
      <c r="H16" s="23">
        <v>7000000</v>
      </c>
      <c r="I16" s="24" t="s">
        <v>180</v>
      </c>
      <c r="J16" s="23">
        <v>2114100</v>
      </c>
      <c r="K16" s="25" t="str">
        <f t="shared" si="0"/>
        <v>7.000.000</v>
      </c>
      <c r="L16" s="25" t="str">
        <f t="shared" si="1"/>
        <v>2.114.100</v>
      </c>
      <c r="M16">
        <f>_xlfn.XLOOKUP(C16,'[1]UP HT'!$B$5:$B$20,'[1]UP HT'!$CW$5:$CW$20,,0)</f>
        <v>6992200</v>
      </c>
      <c r="N16" t="str">
        <f t="shared" si="2"/>
        <v>6.992.200</v>
      </c>
      <c r="O16">
        <f t="shared" si="3"/>
        <v>7800</v>
      </c>
      <c r="P16" t="str">
        <f t="shared" si="4"/>
        <v>.7.800</v>
      </c>
    </row>
    <row r="17" spans="1:16" x14ac:dyDescent="0.25">
      <c r="A17" s="1">
        <v>16</v>
      </c>
      <c r="B17" s="2" t="s">
        <v>174</v>
      </c>
      <c r="C17" s="6" t="s">
        <v>59</v>
      </c>
      <c r="D17" s="2" t="s">
        <v>32</v>
      </c>
      <c r="E17" s="3" t="s">
        <v>8</v>
      </c>
      <c r="F17" s="5" t="s">
        <v>60</v>
      </c>
      <c r="G17" s="5" t="s">
        <v>61</v>
      </c>
      <c r="H17" s="23">
        <v>4000000</v>
      </c>
      <c r="I17" s="24" t="s">
        <v>180</v>
      </c>
      <c r="J17" s="23">
        <v>879300</v>
      </c>
      <c r="K17" s="25" t="str">
        <f t="shared" si="0"/>
        <v>4.000.000</v>
      </c>
      <c r="L17" s="25" t="str">
        <f t="shared" si="1"/>
        <v>.879.300</v>
      </c>
      <c r="M17">
        <f>_xlfn.XLOOKUP(C17,'[1]UP HT'!$B$5:$B$20,'[1]UP HT'!$CW$5:$CW$20,,0)</f>
        <v>3983100</v>
      </c>
      <c r="N17" t="str">
        <f t="shared" si="2"/>
        <v>3.983.100</v>
      </c>
      <c r="O17">
        <f t="shared" si="3"/>
        <v>16900</v>
      </c>
      <c r="P17" t="str">
        <f t="shared" si="4"/>
        <v>.16.900</v>
      </c>
    </row>
  </sheetData>
  <phoneticPr fontId="8" type="noConversion"/>
  <pageMargins left="0.7" right="0.7" top="0.75" bottom="0.75" header="0.3" footer="0.3"/>
  <pageSetup paperSize="9" scale="41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8078E-4410-44A2-AE22-C8DCE96BD17B}">
  <dimension ref="A1:C95"/>
  <sheetViews>
    <sheetView workbookViewId="0">
      <selection activeCell="E4" sqref="E4"/>
    </sheetView>
  </sheetViews>
  <sheetFormatPr defaultRowHeight="15" x14ac:dyDescent="0.25"/>
  <cols>
    <col min="1" max="1" width="4.7109375" style="20" bestFit="1" customWidth="1"/>
    <col min="2" max="2" width="33.42578125" style="21" customWidth="1"/>
    <col min="3" max="3" width="11.85546875" style="20" bestFit="1" customWidth="1"/>
  </cols>
  <sheetData>
    <row r="1" spans="1:3" x14ac:dyDescent="0.25">
      <c r="A1" s="17" t="s">
        <v>0</v>
      </c>
      <c r="B1" s="18" t="s">
        <v>156</v>
      </c>
      <c r="C1" s="17" t="s">
        <v>157</v>
      </c>
    </row>
    <row r="2" spans="1:3" x14ac:dyDescent="0.25">
      <c r="A2" s="19">
        <v>1</v>
      </c>
      <c r="B2" s="11" t="s">
        <v>62</v>
      </c>
      <c r="C2" s="19">
        <v>16</v>
      </c>
    </row>
    <row r="3" spans="1:3" ht="30" x14ac:dyDescent="0.25">
      <c r="A3" s="19">
        <v>2</v>
      </c>
      <c r="B3" s="10" t="s">
        <v>63</v>
      </c>
      <c r="C3" s="19">
        <v>16</v>
      </c>
    </row>
    <row r="4" spans="1:3" ht="60" x14ac:dyDescent="0.25">
      <c r="A4" s="19">
        <v>3</v>
      </c>
      <c r="B4" s="10" t="s">
        <v>64</v>
      </c>
      <c r="C4" s="19">
        <v>16</v>
      </c>
    </row>
    <row r="5" spans="1:3" ht="45" x14ac:dyDescent="0.25">
      <c r="A5" s="19">
        <v>4</v>
      </c>
      <c r="B5" s="10" t="s">
        <v>65</v>
      </c>
      <c r="C5" s="19">
        <v>16</v>
      </c>
    </row>
    <row r="6" spans="1:3" ht="75" x14ac:dyDescent="0.25">
      <c r="A6" s="19">
        <v>5</v>
      </c>
      <c r="B6" s="10" t="s">
        <v>66</v>
      </c>
      <c r="C6" s="19">
        <v>16</v>
      </c>
    </row>
    <row r="7" spans="1:3" ht="45" x14ac:dyDescent="0.25">
      <c r="A7" s="19">
        <v>6</v>
      </c>
      <c r="B7" s="10" t="s">
        <v>67</v>
      </c>
      <c r="C7" s="19">
        <v>16</v>
      </c>
    </row>
    <row r="8" spans="1:3" ht="45" x14ac:dyDescent="0.25">
      <c r="A8" s="19">
        <v>7</v>
      </c>
      <c r="B8" s="10" t="s">
        <v>68</v>
      </c>
      <c r="C8" s="19">
        <v>16</v>
      </c>
    </row>
    <row r="9" spans="1:3" ht="45" x14ac:dyDescent="0.25">
      <c r="A9" s="19">
        <v>8</v>
      </c>
      <c r="B9" s="10" t="s">
        <v>69</v>
      </c>
      <c r="C9" s="19">
        <v>16</v>
      </c>
    </row>
    <row r="10" spans="1:3" x14ac:dyDescent="0.25">
      <c r="A10" s="19">
        <v>9</v>
      </c>
      <c r="B10" s="11" t="s">
        <v>70</v>
      </c>
      <c r="C10" s="19">
        <v>9</v>
      </c>
    </row>
    <row r="11" spans="1:3" x14ac:dyDescent="0.25">
      <c r="A11" s="19">
        <v>10</v>
      </c>
      <c r="B11" s="12" t="s">
        <v>71</v>
      </c>
      <c r="C11" s="19">
        <v>16</v>
      </c>
    </row>
    <row r="12" spans="1:3" ht="45" x14ac:dyDescent="0.25">
      <c r="A12" s="19">
        <v>11</v>
      </c>
      <c r="B12" s="13" t="s">
        <v>72</v>
      </c>
      <c r="C12" s="19">
        <v>8</v>
      </c>
    </row>
    <row r="13" spans="1:3" ht="45" x14ac:dyDescent="0.25">
      <c r="A13" s="19">
        <v>12</v>
      </c>
      <c r="B13" s="13" t="s">
        <v>73</v>
      </c>
      <c r="C13" s="19">
        <v>6</v>
      </c>
    </row>
    <row r="14" spans="1:3" ht="45" x14ac:dyDescent="0.25">
      <c r="A14" s="19">
        <v>13</v>
      </c>
      <c r="B14" s="14" t="s">
        <v>74</v>
      </c>
      <c r="C14" s="19">
        <v>6</v>
      </c>
    </row>
    <row r="15" spans="1:3" ht="45" x14ac:dyDescent="0.25">
      <c r="A15" s="19">
        <v>14</v>
      </c>
      <c r="B15" s="14" t="s">
        <v>75</v>
      </c>
      <c r="C15" s="19">
        <v>8</v>
      </c>
    </row>
    <row r="16" spans="1:3" x14ac:dyDescent="0.25">
      <c r="A16" s="19">
        <v>15</v>
      </c>
      <c r="B16" s="14" t="s">
        <v>76</v>
      </c>
      <c r="C16" s="19">
        <v>13</v>
      </c>
    </row>
    <row r="17" spans="1:3" x14ac:dyDescent="0.25">
      <c r="A17" s="19">
        <v>16</v>
      </c>
      <c r="B17" s="14" t="s">
        <v>77</v>
      </c>
      <c r="C17" s="19">
        <v>13</v>
      </c>
    </row>
    <row r="18" spans="1:3" ht="30" x14ac:dyDescent="0.25">
      <c r="A18" s="19">
        <v>17</v>
      </c>
      <c r="B18" s="14" t="s">
        <v>78</v>
      </c>
      <c r="C18" s="19">
        <v>13</v>
      </c>
    </row>
    <row r="19" spans="1:3" ht="30" x14ac:dyDescent="0.25">
      <c r="A19" s="19">
        <v>18</v>
      </c>
      <c r="B19" s="14" t="s">
        <v>79</v>
      </c>
      <c r="C19" s="19">
        <v>14</v>
      </c>
    </row>
    <row r="20" spans="1:3" ht="30" x14ac:dyDescent="0.25">
      <c r="A20" s="19">
        <v>19</v>
      </c>
      <c r="B20" s="14" t="s">
        <v>80</v>
      </c>
      <c r="C20" s="19">
        <v>14</v>
      </c>
    </row>
    <row r="21" spans="1:3" ht="30" x14ac:dyDescent="0.25">
      <c r="A21" s="19">
        <v>20</v>
      </c>
      <c r="B21" s="14" t="s">
        <v>81</v>
      </c>
      <c r="C21" s="19">
        <v>14</v>
      </c>
    </row>
    <row r="22" spans="1:3" ht="30" x14ac:dyDescent="0.25">
      <c r="A22" s="19">
        <v>21</v>
      </c>
      <c r="B22" s="14" t="s">
        <v>82</v>
      </c>
      <c r="C22" s="19">
        <v>14</v>
      </c>
    </row>
    <row r="23" spans="1:3" ht="30" x14ac:dyDescent="0.25">
      <c r="A23" s="19">
        <v>22</v>
      </c>
      <c r="B23" s="13" t="s">
        <v>83</v>
      </c>
      <c r="C23" s="19">
        <v>8</v>
      </c>
    </row>
    <row r="24" spans="1:3" x14ac:dyDescent="0.25">
      <c r="A24" s="19">
        <v>23</v>
      </c>
      <c r="B24" s="13" t="s">
        <v>84</v>
      </c>
      <c r="C24" s="19">
        <v>6</v>
      </c>
    </row>
    <row r="25" spans="1:3" ht="30" x14ac:dyDescent="0.25">
      <c r="A25" s="19">
        <v>24</v>
      </c>
      <c r="B25" s="13" t="s">
        <v>85</v>
      </c>
      <c r="C25" s="19">
        <v>6</v>
      </c>
    </row>
    <row r="26" spans="1:3" ht="30" x14ac:dyDescent="0.25">
      <c r="A26" s="19">
        <v>25</v>
      </c>
      <c r="B26" s="13" t="s">
        <v>86</v>
      </c>
      <c r="C26" s="19">
        <v>6</v>
      </c>
    </row>
    <row r="27" spans="1:3" ht="30" x14ac:dyDescent="0.25">
      <c r="A27" s="19">
        <v>26</v>
      </c>
      <c r="B27" s="13" t="s">
        <v>87</v>
      </c>
      <c r="C27" s="19">
        <v>6</v>
      </c>
    </row>
    <row r="28" spans="1:3" ht="45" x14ac:dyDescent="0.25">
      <c r="A28" s="19">
        <v>27</v>
      </c>
      <c r="B28" s="13" t="s">
        <v>88</v>
      </c>
      <c r="C28" s="19">
        <v>5</v>
      </c>
    </row>
    <row r="29" spans="1:3" x14ac:dyDescent="0.25">
      <c r="A29" s="19">
        <v>28</v>
      </c>
      <c r="B29" s="13" t="s">
        <v>89</v>
      </c>
      <c r="C29" s="19">
        <v>10</v>
      </c>
    </row>
    <row r="30" spans="1:3" x14ac:dyDescent="0.25">
      <c r="A30" s="19">
        <v>29</v>
      </c>
      <c r="B30" s="13" t="s">
        <v>90</v>
      </c>
      <c r="C30" s="19">
        <v>7</v>
      </c>
    </row>
    <row r="31" spans="1:3" x14ac:dyDescent="0.25">
      <c r="A31" s="19">
        <v>30</v>
      </c>
      <c r="B31" s="13" t="s">
        <v>91</v>
      </c>
      <c r="C31" s="19">
        <v>8</v>
      </c>
    </row>
    <row r="32" spans="1:3" x14ac:dyDescent="0.25">
      <c r="A32" s="19">
        <v>31</v>
      </c>
      <c r="B32" s="13" t="s">
        <v>92</v>
      </c>
      <c r="C32" s="19">
        <v>8</v>
      </c>
    </row>
    <row r="33" spans="1:3" x14ac:dyDescent="0.25">
      <c r="A33" s="19">
        <v>32</v>
      </c>
      <c r="B33" s="13" t="s">
        <v>93</v>
      </c>
      <c r="C33" s="19">
        <v>6</v>
      </c>
    </row>
    <row r="34" spans="1:3" x14ac:dyDescent="0.25">
      <c r="A34" s="19">
        <v>33</v>
      </c>
      <c r="B34" s="13" t="s">
        <v>94</v>
      </c>
      <c r="C34" s="19">
        <v>4</v>
      </c>
    </row>
    <row r="35" spans="1:3" ht="30" x14ac:dyDescent="0.25">
      <c r="A35" s="19">
        <v>34</v>
      </c>
      <c r="B35" s="13" t="s">
        <v>95</v>
      </c>
      <c r="C35" s="19">
        <v>7</v>
      </c>
    </row>
    <row r="36" spans="1:3" x14ac:dyDescent="0.25">
      <c r="A36" s="19">
        <v>35</v>
      </c>
      <c r="B36" s="13" t="s">
        <v>96</v>
      </c>
      <c r="C36" s="19">
        <v>9</v>
      </c>
    </row>
    <row r="37" spans="1:3" ht="30" x14ac:dyDescent="0.25">
      <c r="A37" s="19">
        <v>36</v>
      </c>
      <c r="B37" s="13" t="s">
        <v>97</v>
      </c>
      <c r="C37" s="19">
        <v>5</v>
      </c>
    </row>
    <row r="38" spans="1:3" ht="30" x14ac:dyDescent="0.25">
      <c r="A38" s="19">
        <v>37</v>
      </c>
      <c r="B38" s="13" t="s">
        <v>98</v>
      </c>
      <c r="C38" s="19">
        <v>4</v>
      </c>
    </row>
    <row r="39" spans="1:3" x14ac:dyDescent="0.25">
      <c r="A39" s="19">
        <v>38</v>
      </c>
      <c r="B39" s="13" t="s">
        <v>99</v>
      </c>
      <c r="C39" s="19">
        <v>7</v>
      </c>
    </row>
    <row r="40" spans="1:3" ht="30" x14ac:dyDescent="0.25">
      <c r="A40" s="19">
        <v>39</v>
      </c>
      <c r="B40" s="13" t="s">
        <v>100</v>
      </c>
      <c r="C40" s="19">
        <v>3</v>
      </c>
    </row>
    <row r="41" spans="1:3" ht="30" x14ac:dyDescent="0.25">
      <c r="A41" s="19">
        <v>40</v>
      </c>
      <c r="B41" s="13" t="s">
        <v>101</v>
      </c>
      <c r="C41" s="19">
        <v>3</v>
      </c>
    </row>
    <row r="42" spans="1:3" x14ac:dyDescent="0.25">
      <c r="A42" s="19">
        <v>41</v>
      </c>
      <c r="B42" s="15" t="s">
        <v>102</v>
      </c>
      <c r="C42" s="19">
        <v>2</v>
      </c>
    </row>
    <row r="43" spans="1:3" ht="45" x14ac:dyDescent="0.25">
      <c r="A43" s="19">
        <v>42</v>
      </c>
      <c r="B43" s="13" t="s">
        <v>103</v>
      </c>
      <c r="C43" s="19">
        <v>2</v>
      </c>
    </row>
    <row r="44" spans="1:3" ht="30" x14ac:dyDescent="0.25">
      <c r="A44" s="19">
        <v>43</v>
      </c>
      <c r="B44" s="13" t="s">
        <v>104</v>
      </c>
      <c r="C44" s="19">
        <v>2</v>
      </c>
    </row>
    <row r="45" spans="1:3" ht="45" x14ac:dyDescent="0.25">
      <c r="A45" s="19">
        <v>44</v>
      </c>
      <c r="B45" s="13" t="s">
        <v>105</v>
      </c>
      <c r="C45" s="19">
        <v>1</v>
      </c>
    </row>
    <row r="46" spans="1:3" ht="30" x14ac:dyDescent="0.25">
      <c r="A46" s="19">
        <v>45</v>
      </c>
      <c r="B46" s="13" t="s">
        <v>106</v>
      </c>
      <c r="C46" s="19">
        <v>3</v>
      </c>
    </row>
    <row r="47" spans="1:3" x14ac:dyDescent="0.25">
      <c r="A47" s="19">
        <v>46</v>
      </c>
      <c r="B47" s="13" t="s">
        <v>107</v>
      </c>
      <c r="C47" s="19">
        <v>4</v>
      </c>
    </row>
    <row r="48" spans="1:3" ht="30" x14ac:dyDescent="0.25">
      <c r="A48" s="19">
        <v>47</v>
      </c>
      <c r="B48" s="13" t="s">
        <v>108</v>
      </c>
      <c r="C48" s="19">
        <v>6</v>
      </c>
    </row>
    <row r="49" spans="1:3" ht="30" x14ac:dyDescent="0.25">
      <c r="A49" s="19">
        <v>48</v>
      </c>
      <c r="B49" s="13" t="s">
        <v>109</v>
      </c>
      <c r="C49" s="19">
        <v>6</v>
      </c>
    </row>
    <row r="50" spans="1:3" ht="30" x14ac:dyDescent="0.25">
      <c r="A50" s="19">
        <v>49</v>
      </c>
      <c r="B50" s="13" t="s">
        <v>110</v>
      </c>
      <c r="C50" s="19">
        <v>4</v>
      </c>
    </row>
    <row r="51" spans="1:3" ht="30" x14ac:dyDescent="0.25">
      <c r="A51" s="19">
        <v>50</v>
      </c>
      <c r="B51" s="13" t="s">
        <v>111</v>
      </c>
      <c r="C51" s="19">
        <v>1</v>
      </c>
    </row>
    <row r="52" spans="1:3" ht="45" x14ac:dyDescent="0.25">
      <c r="A52" s="19">
        <v>51</v>
      </c>
      <c r="B52" s="13" t="s">
        <v>112</v>
      </c>
      <c r="C52" s="19">
        <v>1</v>
      </c>
    </row>
    <row r="53" spans="1:3" x14ac:dyDescent="0.25">
      <c r="A53" s="19">
        <v>52</v>
      </c>
      <c r="B53" s="13" t="s">
        <v>113</v>
      </c>
      <c r="C53" s="19">
        <v>3</v>
      </c>
    </row>
    <row r="54" spans="1:3" ht="30" x14ac:dyDescent="0.25">
      <c r="A54" s="19">
        <v>53</v>
      </c>
      <c r="B54" s="13" t="s">
        <v>114</v>
      </c>
      <c r="C54" s="19">
        <v>3</v>
      </c>
    </row>
    <row r="55" spans="1:3" ht="45" x14ac:dyDescent="0.25">
      <c r="A55" s="19">
        <v>54</v>
      </c>
      <c r="B55" s="13" t="s">
        <v>115</v>
      </c>
      <c r="C55" s="19">
        <v>2</v>
      </c>
    </row>
    <row r="56" spans="1:3" x14ac:dyDescent="0.25">
      <c r="A56" s="19">
        <v>55</v>
      </c>
      <c r="B56" s="13" t="s">
        <v>116</v>
      </c>
      <c r="C56" s="19">
        <v>3</v>
      </c>
    </row>
    <row r="57" spans="1:3" ht="60" x14ac:dyDescent="0.25">
      <c r="A57" s="19">
        <v>56</v>
      </c>
      <c r="B57" s="13" t="s">
        <v>117</v>
      </c>
      <c r="C57" s="19">
        <v>1</v>
      </c>
    </row>
    <row r="58" spans="1:3" x14ac:dyDescent="0.25">
      <c r="A58" s="19">
        <v>57</v>
      </c>
      <c r="B58" s="13" t="s">
        <v>118</v>
      </c>
      <c r="C58" s="19">
        <v>2</v>
      </c>
    </row>
    <row r="59" spans="1:3" ht="30" x14ac:dyDescent="0.25">
      <c r="A59" s="19">
        <v>58</v>
      </c>
      <c r="B59" s="13" t="s">
        <v>119</v>
      </c>
      <c r="C59" s="19">
        <v>2</v>
      </c>
    </row>
    <row r="60" spans="1:3" x14ac:dyDescent="0.25">
      <c r="A60" s="19">
        <v>59</v>
      </c>
      <c r="B60" s="13" t="s">
        <v>120</v>
      </c>
      <c r="C60" s="19">
        <v>1</v>
      </c>
    </row>
    <row r="61" spans="1:3" ht="45" x14ac:dyDescent="0.25">
      <c r="A61" s="19">
        <v>60</v>
      </c>
      <c r="B61" s="13" t="s">
        <v>121</v>
      </c>
      <c r="C61" s="19">
        <v>12</v>
      </c>
    </row>
    <row r="62" spans="1:3" ht="60" x14ac:dyDescent="0.25">
      <c r="A62" s="19">
        <v>61</v>
      </c>
      <c r="B62" s="13" t="s">
        <v>122</v>
      </c>
      <c r="C62" s="19">
        <v>9</v>
      </c>
    </row>
    <row r="63" spans="1:3" ht="30" x14ac:dyDescent="0.25">
      <c r="A63" s="19">
        <v>62</v>
      </c>
      <c r="B63" s="13" t="s">
        <v>123</v>
      </c>
      <c r="C63" s="19">
        <v>10</v>
      </c>
    </row>
    <row r="64" spans="1:3" ht="30" x14ac:dyDescent="0.25">
      <c r="A64" s="19">
        <v>63</v>
      </c>
      <c r="B64" s="13" t="s">
        <v>124</v>
      </c>
      <c r="C64" s="19">
        <v>14</v>
      </c>
    </row>
    <row r="65" spans="1:3" ht="45" x14ac:dyDescent="0.25">
      <c r="A65" s="19">
        <v>64</v>
      </c>
      <c r="B65" s="13" t="s">
        <v>125</v>
      </c>
      <c r="C65" s="19">
        <v>1</v>
      </c>
    </row>
    <row r="66" spans="1:3" ht="30" x14ac:dyDescent="0.25">
      <c r="A66" s="19">
        <v>65</v>
      </c>
      <c r="B66" s="13" t="s">
        <v>126</v>
      </c>
      <c r="C66" s="19">
        <v>1</v>
      </c>
    </row>
    <row r="67" spans="1:3" ht="45" x14ac:dyDescent="0.25">
      <c r="A67" s="19">
        <v>66</v>
      </c>
      <c r="B67" s="13" t="s">
        <v>127</v>
      </c>
      <c r="C67" s="19">
        <v>8</v>
      </c>
    </row>
    <row r="68" spans="1:3" ht="60" x14ac:dyDescent="0.25">
      <c r="A68" s="19">
        <v>67</v>
      </c>
      <c r="B68" s="13" t="s">
        <v>128</v>
      </c>
      <c r="C68" s="19">
        <v>6</v>
      </c>
    </row>
    <row r="69" spans="1:3" ht="60" x14ac:dyDescent="0.25">
      <c r="A69" s="19">
        <v>68</v>
      </c>
      <c r="B69" s="13" t="s">
        <v>129</v>
      </c>
      <c r="C69" s="19">
        <v>6</v>
      </c>
    </row>
    <row r="70" spans="1:3" ht="30" x14ac:dyDescent="0.25">
      <c r="A70" s="19">
        <v>69</v>
      </c>
      <c r="B70" s="13" t="s">
        <v>130</v>
      </c>
      <c r="C70" s="19">
        <v>6</v>
      </c>
    </row>
    <row r="71" spans="1:3" ht="45" x14ac:dyDescent="0.25">
      <c r="A71" s="19">
        <v>70</v>
      </c>
      <c r="B71" s="13" t="s">
        <v>131</v>
      </c>
      <c r="C71" s="19">
        <v>6</v>
      </c>
    </row>
    <row r="72" spans="1:3" ht="30" x14ac:dyDescent="0.25">
      <c r="A72" s="19">
        <v>71</v>
      </c>
      <c r="B72" s="13" t="s">
        <v>132</v>
      </c>
      <c r="C72" s="19">
        <v>5</v>
      </c>
    </row>
    <row r="73" spans="1:3" ht="45" x14ac:dyDescent="0.25">
      <c r="A73" s="19">
        <v>72</v>
      </c>
      <c r="B73" s="13" t="s">
        <v>133</v>
      </c>
      <c r="C73" s="19">
        <v>2</v>
      </c>
    </row>
    <row r="74" spans="1:3" x14ac:dyDescent="0.25">
      <c r="A74" s="19">
        <v>73</v>
      </c>
      <c r="B74" s="13" t="s">
        <v>134</v>
      </c>
      <c r="C74" s="19">
        <v>2</v>
      </c>
    </row>
    <row r="75" spans="1:3" ht="30" x14ac:dyDescent="0.25">
      <c r="A75" s="19">
        <v>74</v>
      </c>
      <c r="B75" s="13" t="s">
        <v>135</v>
      </c>
      <c r="C75" s="19">
        <v>1</v>
      </c>
    </row>
    <row r="76" spans="1:3" ht="45" x14ac:dyDescent="0.25">
      <c r="A76" s="19">
        <v>75</v>
      </c>
      <c r="B76" s="13" t="s">
        <v>136</v>
      </c>
      <c r="C76" s="19">
        <v>2</v>
      </c>
    </row>
    <row r="77" spans="1:3" ht="60" x14ac:dyDescent="0.25">
      <c r="A77" s="19">
        <v>76</v>
      </c>
      <c r="B77" s="13" t="s">
        <v>137</v>
      </c>
      <c r="C77" s="19">
        <v>6</v>
      </c>
    </row>
    <row r="78" spans="1:3" ht="45" x14ac:dyDescent="0.25">
      <c r="A78" s="19">
        <v>77</v>
      </c>
      <c r="B78" s="13" t="s">
        <v>138</v>
      </c>
      <c r="C78" s="19">
        <v>1</v>
      </c>
    </row>
    <row r="79" spans="1:3" ht="30" x14ac:dyDescent="0.25">
      <c r="A79" s="19">
        <v>78</v>
      </c>
      <c r="B79" s="13" t="s">
        <v>139</v>
      </c>
      <c r="C79" s="19">
        <v>3</v>
      </c>
    </row>
    <row r="80" spans="1:3" x14ac:dyDescent="0.25">
      <c r="A80" s="19">
        <v>79</v>
      </c>
      <c r="B80" s="13" t="s">
        <v>140</v>
      </c>
      <c r="C80" s="19">
        <v>2</v>
      </c>
    </row>
    <row r="81" spans="1:3" x14ac:dyDescent="0.25">
      <c r="A81" s="19">
        <v>80</v>
      </c>
      <c r="B81" s="13" t="s">
        <v>141</v>
      </c>
      <c r="C81" s="19">
        <v>2</v>
      </c>
    </row>
    <row r="82" spans="1:3" x14ac:dyDescent="0.25">
      <c r="A82" s="19">
        <v>81</v>
      </c>
      <c r="B82" s="13" t="s">
        <v>142</v>
      </c>
      <c r="C82" s="19">
        <v>1</v>
      </c>
    </row>
    <row r="83" spans="1:3" x14ac:dyDescent="0.25">
      <c r="A83" s="19">
        <v>82</v>
      </c>
      <c r="B83" s="15" t="s">
        <v>143</v>
      </c>
      <c r="C83" s="19">
        <v>4</v>
      </c>
    </row>
    <row r="84" spans="1:3" x14ac:dyDescent="0.25">
      <c r="A84" s="19">
        <v>83</v>
      </c>
      <c r="B84" s="15" t="s">
        <v>144</v>
      </c>
      <c r="C84" s="19">
        <v>4</v>
      </c>
    </row>
    <row r="85" spans="1:3" ht="45" x14ac:dyDescent="0.25">
      <c r="A85" s="19">
        <v>84</v>
      </c>
      <c r="B85" s="16" t="s">
        <v>145</v>
      </c>
      <c r="C85" s="19">
        <v>1</v>
      </c>
    </row>
    <row r="86" spans="1:3" ht="30" x14ac:dyDescent="0.25">
      <c r="A86" s="19">
        <v>85</v>
      </c>
      <c r="B86" s="13" t="s">
        <v>146</v>
      </c>
      <c r="C86" s="19">
        <v>3</v>
      </c>
    </row>
    <row r="87" spans="1:3" x14ac:dyDescent="0.25">
      <c r="A87" s="19">
        <v>86</v>
      </c>
      <c r="B87" s="13" t="s">
        <v>147</v>
      </c>
      <c r="C87" s="19">
        <v>1</v>
      </c>
    </row>
    <row r="88" spans="1:3" ht="30" x14ac:dyDescent="0.25">
      <c r="A88" s="19">
        <v>87</v>
      </c>
      <c r="B88" s="13" t="s">
        <v>148</v>
      </c>
      <c r="C88" s="19">
        <v>1</v>
      </c>
    </row>
    <row r="89" spans="1:3" ht="30" x14ac:dyDescent="0.25">
      <c r="A89" s="19">
        <v>88</v>
      </c>
      <c r="B89" s="13" t="s">
        <v>149</v>
      </c>
      <c r="C89" s="19">
        <v>3</v>
      </c>
    </row>
    <row r="90" spans="1:3" ht="45" x14ac:dyDescent="0.25">
      <c r="A90" s="19">
        <v>89</v>
      </c>
      <c r="B90" s="13" t="s">
        <v>150</v>
      </c>
      <c r="C90" s="19">
        <v>2</v>
      </c>
    </row>
    <row r="91" spans="1:3" x14ac:dyDescent="0.25">
      <c r="A91" s="19">
        <v>90</v>
      </c>
      <c r="B91" s="13" t="s">
        <v>151</v>
      </c>
      <c r="C91" s="19">
        <v>1</v>
      </c>
    </row>
    <row r="92" spans="1:3" ht="30" x14ac:dyDescent="0.25">
      <c r="A92" s="19">
        <v>91</v>
      </c>
      <c r="B92" s="13" t="s">
        <v>152</v>
      </c>
      <c r="C92" s="19">
        <v>1</v>
      </c>
    </row>
    <row r="93" spans="1:3" x14ac:dyDescent="0.25">
      <c r="A93" s="19">
        <v>92</v>
      </c>
      <c r="B93" s="13" t="s">
        <v>153</v>
      </c>
      <c r="C93" s="19">
        <v>2</v>
      </c>
    </row>
    <row r="94" spans="1:3" x14ac:dyDescent="0.25">
      <c r="A94" s="19">
        <v>93</v>
      </c>
      <c r="B94" s="13" t="s">
        <v>154</v>
      </c>
      <c r="C94" s="19">
        <v>2</v>
      </c>
    </row>
    <row r="95" spans="1:3" ht="30" x14ac:dyDescent="0.25">
      <c r="A95" s="19">
        <v>94</v>
      </c>
      <c r="B95" s="13" t="s">
        <v>155</v>
      </c>
      <c r="C95" s="19">
        <v>3</v>
      </c>
    </row>
  </sheetData>
  <conditionalFormatting sqref="B6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DS</vt:lpstr>
      <vt:lpstr>DM</vt:lpstr>
      <vt:lpstr>DS!Print_Area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Giang Nguyễn</cp:lastModifiedBy>
  <cp:lastPrinted>2025-06-05T10:26:36Z</cp:lastPrinted>
  <dcterms:created xsi:type="dcterms:W3CDTF">2015-06-05T18:17:20Z</dcterms:created>
  <dcterms:modified xsi:type="dcterms:W3CDTF">2025-06-06T10:52:52Z</dcterms:modified>
</cp:coreProperties>
</file>