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G:\DATA-TN\Hoàng\2025\T6\AGRIBANK QUẾ SƠN (103-2025) (TB65-2025)\"/>
    </mc:Choice>
  </mc:AlternateContent>
  <xr:revisionPtr revIDLastSave="0" documentId="13_ncr:1_{9AFECB31-12B6-4970-894B-E9252247EADE}" xr6:coauthVersionLast="47" xr6:coauthVersionMax="47" xr10:uidLastSave="{00000000-0000-0000-0000-000000000000}"/>
  <bookViews>
    <workbookView xWindow="-120" yWindow="-120" windowWidth="20730" windowHeight="11160" xr2:uid="{00000000-000D-0000-FFFF-FFFF00000000}"/>
  </bookViews>
  <sheets>
    <sheet name="Thiện Phước" sheetId="2" r:id="rId1"/>
  </sheets>
  <definedNames>
    <definedName name="_xlnm.Print_Area" localSheetId="0">'Thiện Phước'!$A$1:$F$85</definedName>
    <definedName name="_xlnm.Print_Titles" localSheetId="0">'Thiện Phước'!#REF!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72" i="2" l="1"/>
  <c r="E72" i="2"/>
  <c r="D72" i="2"/>
  <c r="F50" i="2"/>
  <c r="E50" i="2"/>
  <c r="D50" i="2"/>
</calcChain>
</file>

<file path=xl/sharedStrings.xml><?xml version="1.0" encoding="utf-8"?>
<sst xmlns="http://schemas.openxmlformats.org/spreadsheetml/2006/main" count="95" uniqueCount="91">
  <si>
    <t>BẢNG BÁO GIÁ GÓI KHÁM SỨC KHỎE TỔNG QUÁT</t>
  </si>
  <si>
    <t>Chức năng khám</t>
  </si>
  <si>
    <t>* Lưu ý:</t>
  </si>
  <si>
    <t xml:space="preserve">     . Kính chúc sức khỏe và trân trọng cảm ơn!</t>
  </si>
  <si>
    <t xml:space="preserve">         PHÒNG KHÁM ĐA KHOA THIỆN PHƯỚC ĐÀ NẴNG</t>
  </si>
  <si>
    <t xml:space="preserve">  Số 82 Quang Trung, Q. Hải Châu, Đà Nẵng</t>
  </si>
  <si>
    <t xml:space="preserve">         Website: www.facebook.com/pkdkthienphuoc</t>
  </si>
  <si>
    <t xml:space="preserve">   Tel: 0236 3866 577</t>
  </si>
  <si>
    <t>Phòng khám đa khoa Thiện Phước Đà Nẵng xin gửi đến Quý Công ty/Đơn vị bảng báo giá các danh mục khám (Bao gồm các hạng mục khám bệnh và các xét nghiệm) của gói khám sức khỏe tổng quát định kỳ như sau:</t>
  </si>
  <si>
    <t xml:space="preserve">     . Đơn giá trên đã bao gồm hóa đơn tài chính (VAT 0%).</t>
  </si>
  <si>
    <t xml:space="preserve">     . Báo giá này có hiệu lực 60 ngày kể từ ngày báo giá</t>
  </si>
  <si>
    <t xml:space="preserve">Soi Cổ Tử Cung </t>
  </si>
  <si>
    <t>Đo chức năng hô hấp</t>
  </si>
  <si>
    <t xml:space="preserve">Tổng kết và tư vấn sức khỏe </t>
  </si>
  <si>
    <t xml:space="preserve">CEA trong máu </t>
  </si>
  <si>
    <t>AFP  trong máu</t>
  </si>
  <si>
    <t>STT</t>
  </si>
  <si>
    <t>Danh mục khám</t>
  </si>
  <si>
    <t>Khám tổng quát</t>
  </si>
  <si>
    <t>Nước tiểu 10 thông số</t>
  </si>
  <si>
    <t>Urea</t>
  </si>
  <si>
    <t>Triglycerid</t>
  </si>
  <si>
    <t>Siêu âm</t>
  </si>
  <si>
    <t>Siêu âm màu Bụng - Tổng Quát</t>
  </si>
  <si>
    <t xml:space="preserve">AST ( SGOT )  </t>
  </si>
  <si>
    <t>Định lượng CREATINIE máu</t>
  </si>
  <si>
    <t>NAM&gt;55t</t>
  </si>
  <si>
    <t>NỮ</t>
  </si>
  <si>
    <t>NỮ+BNN</t>
  </si>
  <si>
    <t>I. DANH MỤC ĐỢT 1</t>
  </si>
  <si>
    <t>Khám chuyên khoa Nội, ngoại tổng quát, Chuyên khoa TMH, Chuyên Khoa RMH, Chuyên khoa mắt, da liễu, cân đo, huyết áp,….</t>
  </si>
  <si>
    <t>Khám phụ khoa, khám vú</t>
  </si>
  <si>
    <t>Chụp CT Scanner Ngực</t>
  </si>
  <si>
    <t>Độ lọc cầu thận - eGFR (MDRD)</t>
  </si>
  <si>
    <t xml:space="preserve">Bộ mỡ </t>
  </si>
  <si>
    <t>Canxi</t>
  </si>
  <si>
    <t>Định lượng Can xi ion tự do trong máu</t>
  </si>
  <si>
    <t>Định lượng Can xi toàn phần</t>
  </si>
  <si>
    <t>SCC (UT Vòm họng, thực quản)</t>
  </si>
  <si>
    <t>TỔNG CỘNG ĐỢT 1</t>
  </si>
  <si>
    <t>I. DANH MỤC ĐỢT 2</t>
  </si>
  <si>
    <t>X-quang</t>
  </si>
  <si>
    <t>Sắt</t>
  </si>
  <si>
    <t>Sắc tố mật</t>
  </si>
  <si>
    <t>Đo xơ hóa gan</t>
  </si>
  <si>
    <t xml:space="preserve">Nội soi tai mũi họng </t>
  </si>
  <si>
    <t>Test hơi thở phát hiện vi khuẩn HP trong dạ dày không xâm lấn</t>
  </si>
  <si>
    <t>Xét nghiệm phát hiện và định typ HPV</t>
  </si>
  <si>
    <t>Gói nữ và bệnh nghề nghiệp</t>
  </si>
  <si>
    <t>Gói nữ</t>
  </si>
  <si>
    <t>Gói nam</t>
  </si>
  <si>
    <t>Tổng phân tích tế bào máu bằng máy Laser</t>
  </si>
  <si>
    <t>Định lượng GLUCOSE máu</t>
  </si>
  <si>
    <t>HbA1C</t>
  </si>
  <si>
    <t>ALT ( SGPT )</t>
  </si>
  <si>
    <t xml:space="preserve">Gamma GT  </t>
  </si>
  <si>
    <t xml:space="preserve">HDL-cholesterol </t>
  </si>
  <si>
    <t xml:space="preserve">LDL-cholesterol  </t>
  </si>
  <si>
    <t xml:space="preserve">VLDL - cholesterol </t>
  </si>
  <si>
    <t xml:space="preserve">Cholesterol TP </t>
  </si>
  <si>
    <t xml:space="preserve">Định lượng ACID URIC máu </t>
  </si>
  <si>
    <t>TSH  trong máu</t>
  </si>
  <si>
    <t xml:space="preserve">Free T4 trong máu </t>
  </si>
  <si>
    <t xml:space="preserve">Ca 72-4  trong máu </t>
  </si>
  <si>
    <t xml:space="preserve">Cyfra 21-1  trong máu </t>
  </si>
  <si>
    <t xml:space="preserve">Siêu âm màu tuyến vú </t>
  </si>
  <si>
    <t xml:space="preserve">Siêu âm Tuyến giáp </t>
  </si>
  <si>
    <t>Siêu âm tim 4D ghi đĩa đánh giá cấu trúc và chức năng toàn diện</t>
  </si>
  <si>
    <t>Điện tâm đồ</t>
  </si>
  <si>
    <t>Siêu âm đầu dò âm đạo</t>
  </si>
  <si>
    <t>XN Thinprep</t>
  </si>
  <si>
    <t xml:space="preserve">Soi tươi </t>
  </si>
  <si>
    <t>Ca 15-3  trong máu</t>
  </si>
  <si>
    <t>ROMA TEST bao gồm: HE4 và CA 125</t>
  </si>
  <si>
    <t>Nội soi dạ dày không đau</t>
  </si>
  <si>
    <t xml:space="preserve">Xét nghiệm Prothrombin </t>
  </si>
  <si>
    <t xml:space="preserve">Total PSA và Free PSA  trong máu </t>
  </si>
  <si>
    <t xml:space="preserve">Billirubin </t>
  </si>
  <si>
    <t xml:space="preserve">Fe </t>
  </si>
  <si>
    <t xml:space="preserve">Chụp XQ cột sống thắt lưng thẳng </t>
  </si>
  <si>
    <t>Chụp XQ cột sống cổ thẳng</t>
  </si>
  <si>
    <t xml:space="preserve">Siêu âm động mạch cảnh, đốt sống  </t>
  </si>
  <si>
    <r>
      <t xml:space="preserve">Kính gửi: </t>
    </r>
    <r>
      <rPr>
        <b/>
        <sz val="12"/>
        <rFont val="Calibri"/>
        <family val="2"/>
        <scheme val="minor"/>
      </rPr>
      <t xml:space="preserve"> NGÂN HÀNG NÔNG NGHIỆP VÀ PHÁT TRIỂN NÔNG THÔN VIỆT NAM CHI NHÁNH - QUẾ SƠN</t>
    </r>
  </si>
  <si>
    <t>Hình ảnh</t>
  </si>
  <si>
    <t>CT máu</t>
  </si>
  <si>
    <t>Đường</t>
  </si>
  <si>
    <t>Nước tiểu</t>
  </si>
  <si>
    <t>Chức năng gan</t>
  </si>
  <si>
    <t>Chức năng thận</t>
  </si>
  <si>
    <t>Gout</t>
  </si>
  <si>
    <t>XN Tuyến giáp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</si>
</sst>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5" formatCode="_(* #,##0_);_(* \(#,##0\);_(* &quot;-&quot;??_);_(@_)"/>
    <numFmt numFmtId="166" formatCode="_ * #,##0.00_ ;_ * \-#,##0.00_ ;_ * &quot;-&quot;??_ ;_ @_ "/>
  </numFmts>
  <fonts count="18" x14ac:knownFonts="1">
    <font>
      <sz val="12"/>
      <color theme="1"/>
      <name val="Times New Roman"/>
      <family val="2"/>
    </font>
    <font>
      <sz val="12"/>
      <color theme="1"/>
      <name val="Times New Roman"/>
      <family val="2"/>
    </font>
    <font>
      <sz val="11"/>
      <color theme="1"/>
      <name val="Calibri"/>
      <family val="2"/>
      <charset val="163"/>
      <scheme val="minor"/>
    </font>
    <font>
      <sz val="12"/>
      <name val="Times New Roman"/>
      <family val="1"/>
    </font>
    <font>
      <u/>
      <sz val="12"/>
      <color theme="10"/>
      <name val="Times New Roman"/>
      <family val="1"/>
    </font>
    <font>
      <sz val="11"/>
      <color theme="1"/>
      <name val="Calibri"/>
      <family val="2"/>
      <scheme val="minor"/>
    </font>
    <font>
      <sz val="10"/>
      <name val="Arial"/>
      <family val="2"/>
    </font>
    <font>
      <b/>
      <sz val="11"/>
      <name val="Calibri"/>
      <family val="2"/>
      <scheme val="minor"/>
    </font>
    <font>
      <sz val="11"/>
      <name val="Calibri"/>
      <family val="2"/>
      <scheme val="minor"/>
    </font>
    <font>
      <b/>
      <sz val="14"/>
      <name val="Calibri"/>
      <family val="2"/>
      <scheme val="minor"/>
    </font>
    <font>
      <b/>
      <u/>
      <sz val="12"/>
      <name val="Calibri"/>
      <family val="2"/>
      <scheme val="minor"/>
    </font>
    <font>
      <b/>
      <sz val="12"/>
      <name val="Calibri"/>
      <family val="2"/>
      <scheme val="minor"/>
    </font>
    <font>
      <sz val="12"/>
      <name val="Calibri"/>
      <family val="2"/>
      <scheme val="minor"/>
    </font>
    <font>
      <b/>
      <sz val="12"/>
      <color rgb="FF000000"/>
      <name val="Calibri"/>
      <family val="2"/>
      <scheme val="minor"/>
    </font>
    <font>
      <sz val="12"/>
      <color theme="1"/>
      <name val="Calibri"/>
      <family val="2"/>
      <scheme val="minor"/>
    </font>
    <font>
      <sz val="12"/>
      <color rgb="FF000000"/>
      <name val="Calibri"/>
      <family val="2"/>
      <scheme val="minor"/>
    </font>
    <font>
      <sz val="13"/>
      <color theme="1"/>
      <name val="Calibri"/>
      <family val="2"/>
      <scheme val="minor"/>
    </font>
    <font>
      <b/>
      <sz val="13"/>
      <color theme="1"/>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rgb="FFFFFFFF"/>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9" tint="0.59999389629810485"/>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theme="0"/>
      </left>
      <right/>
      <top/>
      <bottom/>
      <diagonal/>
    </border>
    <border>
      <left style="thin">
        <color theme="0"/>
      </left>
      <right/>
      <top/>
      <bottom style="thin">
        <color indexed="64"/>
      </bottom>
      <diagonal/>
    </border>
    <border>
      <left/>
      <right/>
      <top/>
      <bottom style="thin">
        <color indexed="64"/>
      </bottom>
      <diagonal/>
    </border>
  </borders>
  <cellStyleXfs count="10">
    <xf numFmtId="0" fontId="0" fillId="0" borderId="0"/>
    <xf numFmtId="43" fontId="1" fillId="0" borderId="0" applyFont="0" applyFill="0" applyBorder="0" applyAlignment="0" applyProtection="0"/>
    <xf numFmtId="0" fontId="2" fillId="0" borderId="0"/>
    <xf numFmtId="0" fontId="3" fillId="0" borderId="0">
      <alignment vertical="center"/>
    </xf>
    <xf numFmtId="0" fontId="4" fillId="0" borderId="0" applyNumberFormat="0" applyFill="0" applyBorder="0" applyAlignment="0" applyProtection="0">
      <alignment vertical="center"/>
    </xf>
    <xf numFmtId="0" fontId="5" fillId="0" borderId="0"/>
    <xf numFmtId="0" fontId="6" fillId="0" borderId="0"/>
    <xf numFmtId="166" fontId="3" fillId="0" borderId="0" applyFont="0" applyFill="0" applyBorder="0" applyAlignment="0" applyProtection="0">
      <alignment vertical="center"/>
    </xf>
    <xf numFmtId="0" fontId="5" fillId="0" borderId="0"/>
    <xf numFmtId="43" fontId="5" fillId="0" borderId="0" applyFont="0" applyFill="0" applyBorder="0" applyAlignment="0" applyProtection="0"/>
  </cellStyleXfs>
  <cellXfs count="75">
    <xf numFmtId="0" fontId="0" fillId="0" borderId="0" xfId="0"/>
    <xf numFmtId="0" fontId="7" fillId="0" borderId="0" xfId="0" applyFont="1" applyAlignment="1">
      <alignment horizontal="right" vertical="center"/>
    </xf>
    <xf numFmtId="0" fontId="8" fillId="0" borderId="0" xfId="0" applyFont="1"/>
    <xf numFmtId="0" fontId="7" fillId="0" borderId="0" xfId="0" applyFont="1" applyAlignment="1">
      <alignment vertical="center"/>
    </xf>
    <xf numFmtId="0" fontId="7" fillId="0" borderId="0" xfId="0" applyFont="1" applyAlignment="1">
      <alignment horizontal="right" vertical="center"/>
    </xf>
    <xf numFmtId="0" fontId="8" fillId="0" borderId="1" xfId="0" applyFont="1" applyBorder="1" applyAlignment="1">
      <alignment vertical="center"/>
    </xf>
    <xf numFmtId="0" fontId="7" fillId="0" borderId="1" xfId="0" applyFont="1" applyBorder="1" applyAlignment="1">
      <alignment vertical="center"/>
    </xf>
    <xf numFmtId="0" fontId="7" fillId="0" borderId="1" xfId="0" applyFont="1" applyBorder="1" applyAlignment="1">
      <alignment horizontal="center" vertical="center"/>
    </xf>
    <xf numFmtId="3" fontId="9" fillId="0" borderId="10" xfId="0" applyNumberFormat="1" applyFont="1" applyBorder="1" applyAlignment="1">
      <alignment horizontal="center" vertical="center"/>
    </xf>
    <xf numFmtId="3" fontId="9" fillId="0" borderId="0" xfId="0" applyNumberFormat="1" applyFont="1" applyBorder="1" applyAlignment="1">
      <alignment horizontal="center" vertical="center"/>
    </xf>
    <xf numFmtId="3" fontId="9" fillId="0" borderId="0" xfId="0" applyNumberFormat="1" applyFont="1" applyBorder="1" applyAlignment="1">
      <alignment vertical="center"/>
    </xf>
    <xf numFmtId="0" fontId="10" fillId="0" borderId="2" xfId="0" applyFont="1" applyBorder="1" applyAlignment="1">
      <alignment vertical="center" wrapText="1"/>
    </xf>
    <xf numFmtId="0" fontId="10" fillId="0" borderId="0" xfId="0" applyFont="1" applyAlignment="1">
      <alignment horizontal="left" vertical="center" wrapText="1"/>
    </xf>
    <xf numFmtId="0" fontId="10" fillId="0" borderId="0" xfId="0" applyFont="1" applyAlignment="1">
      <alignment vertical="center" wrapText="1"/>
    </xf>
    <xf numFmtId="0" fontId="12" fillId="0" borderId="0" xfId="0" applyFont="1"/>
    <xf numFmtId="0" fontId="12" fillId="0" borderId="11" xfId="0" applyFont="1" applyBorder="1" applyAlignment="1">
      <alignment horizontal="left" vertical="center" wrapText="1"/>
    </xf>
    <xf numFmtId="0" fontId="12" fillId="0" borderId="12" xfId="0" applyFont="1" applyBorder="1" applyAlignment="1">
      <alignment horizontal="left" vertical="center" wrapText="1"/>
    </xf>
    <xf numFmtId="0" fontId="12" fillId="0" borderId="0" xfId="0" applyFont="1" applyBorder="1" applyAlignment="1">
      <alignment vertical="center" wrapText="1"/>
    </xf>
    <xf numFmtId="0" fontId="13" fillId="3" borderId="8" xfId="0" applyFont="1" applyFill="1" applyBorder="1" applyAlignment="1">
      <alignment horizontal="center" vertical="center" wrapText="1"/>
    </xf>
    <xf numFmtId="0" fontId="13" fillId="3" borderId="8" xfId="0" applyFont="1" applyFill="1" applyBorder="1" applyAlignment="1">
      <alignment vertical="center" wrapText="1"/>
    </xf>
    <xf numFmtId="3" fontId="13" fillId="3" borderId="8" xfId="1" applyNumberFormat="1" applyFont="1" applyFill="1" applyBorder="1" applyAlignment="1">
      <alignment horizontal="center" vertical="center" wrapText="1"/>
    </xf>
    <xf numFmtId="0" fontId="14" fillId="0" borderId="0" xfId="0" applyFont="1"/>
    <xf numFmtId="0" fontId="13" fillId="9" borderId="8" xfId="0" applyFont="1" applyFill="1" applyBorder="1" applyAlignment="1">
      <alignment horizontal="left" vertical="center" wrapText="1"/>
    </xf>
    <xf numFmtId="3" fontId="15" fillId="9" borderId="8" xfId="1" applyNumberFormat="1" applyFont="1" applyFill="1" applyBorder="1" applyAlignment="1">
      <alignment horizontal="center" vertical="center" wrapText="1"/>
    </xf>
    <xf numFmtId="0" fontId="15" fillId="0" borderId="8" xfId="0" applyFont="1" applyBorder="1" applyAlignment="1">
      <alignment horizontal="center" vertical="center" wrapText="1"/>
    </xf>
    <xf numFmtId="0" fontId="13" fillId="0" borderId="8" xfId="0" applyFont="1" applyBorder="1" applyAlignment="1">
      <alignment horizontal="center" vertical="center" wrapText="1"/>
    </xf>
    <xf numFmtId="0" fontId="15" fillId="0" borderId="8" xfId="0" applyFont="1" applyBorder="1" applyAlignment="1">
      <alignment horizontal="center" vertical="center" wrapText="1"/>
    </xf>
    <xf numFmtId="3" fontId="15" fillId="0" borderId="8" xfId="1" applyNumberFormat="1" applyFont="1" applyFill="1" applyBorder="1" applyAlignment="1">
      <alignment horizontal="center" vertical="center" wrapText="1"/>
    </xf>
    <xf numFmtId="0" fontId="15" fillId="0" borderId="8" xfId="0" applyFont="1" applyBorder="1" applyAlignment="1">
      <alignment vertical="center" wrapText="1"/>
    </xf>
    <xf numFmtId="3" fontId="14" fillId="8" borderId="8" xfId="1" applyNumberFormat="1" applyFont="1" applyFill="1" applyBorder="1" applyAlignment="1">
      <alignment horizontal="center" vertical="center" wrapText="1"/>
    </xf>
    <xf numFmtId="3" fontId="14" fillId="0" borderId="8" xfId="1" applyNumberFormat="1" applyFont="1" applyFill="1" applyBorder="1" applyAlignment="1">
      <alignment horizontal="center" vertical="center" wrapText="1"/>
    </xf>
    <xf numFmtId="0" fontId="12" fillId="0" borderId="8" xfId="0" applyFont="1" applyBorder="1" applyAlignment="1">
      <alignment horizontal="center" vertical="center"/>
    </xf>
    <xf numFmtId="0" fontId="13" fillId="0" borderId="8" xfId="0" applyFont="1" applyBorder="1" applyAlignment="1">
      <alignment horizontal="center" vertical="center" wrapText="1"/>
    </xf>
    <xf numFmtId="0" fontId="12" fillId="0" borderId="8" xfId="0" applyFont="1" applyBorder="1" applyAlignment="1">
      <alignment vertical="center" wrapText="1"/>
    </xf>
    <xf numFmtId="0" fontId="14" fillId="0" borderId="8" xfId="0" applyFont="1" applyBorder="1" applyAlignment="1">
      <alignment vertical="center" wrapText="1"/>
    </xf>
    <xf numFmtId="0" fontId="12" fillId="5" borderId="8" xfId="0" applyFont="1" applyFill="1" applyBorder="1" applyAlignment="1">
      <alignment vertical="center" wrapText="1"/>
    </xf>
    <xf numFmtId="0" fontId="11" fillId="0" borderId="8" xfId="0" applyFont="1" applyBorder="1" applyAlignment="1">
      <alignment horizontal="center" vertical="center"/>
    </xf>
    <xf numFmtId="0" fontId="11" fillId="0" borderId="8" xfId="0" applyFont="1" applyBorder="1" applyAlignment="1">
      <alignment horizontal="center" vertical="center" wrapText="1"/>
    </xf>
    <xf numFmtId="0" fontId="11" fillId="0" borderId="8" xfId="0" applyFont="1" applyBorder="1" applyAlignment="1">
      <alignment horizontal="center" vertical="center" wrapText="1"/>
    </xf>
    <xf numFmtId="3" fontId="12" fillId="0" borderId="8" xfId="1" applyNumberFormat="1" applyFont="1" applyBorder="1" applyAlignment="1">
      <alignment horizontal="center" vertical="center"/>
    </xf>
    <xf numFmtId="0" fontId="11" fillId="0" borderId="8" xfId="0" applyFont="1" applyBorder="1" applyAlignment="1">
      <alignment vertical="center" wrapText="1"/>
    </xf>
    <xf numFmtId="0" fontId="11" fillId="2" borderId="8" xfId="0" applyFont="1" applyFill="1" applyBorder="1" applyAlignment="1">
      <alignment horizontal="center" vertical="center"/>
    </xf>
    <xf numFmtId="0" fontId="11" fillId="2" borderId="8" xfId="0" applyFont="1" applyFill="1" applyBorder="1" applyAlignment="1">
      <alignment horizontal="center" vertical="center"/>
    </xf>
    <xf numFmtId="0" fontId="13" fillId="0" borderId="8" xfId="0" applyFont="1" applyBorder="1" applyAlignment="1">
      <alignment vertical="center"/>
    </xf>
    <xf numFmtId="0" fontId="15" fillId="2" borderId="9" xfId="0" applyFont="1" applyFill="1" applyBorder="1" applyAlignment="1">
      <alignment vertical="center" wrapText="1"/>
    </xf>
    <xf numFmtId="0" fontId="11" fillId="3" borderId="6" xfId="0" applyFont="1" applyFill="1" applyBorder="1" applyAlignment="1">
      <alignment horizontal="center" vertical="center" wrapText="1"/>
    </xf>
    <xf numFmtId="0" fontId="11" fillId="3" borderId="7" xfId="0" applyFont="1" applyFill="1" applyBorder="1" applyAlignment="1">
      <alignment horizontal="center" vertical="center" wrapText="1"/>
    </xf>
    <xf numFmtId="3" fontId="11" fillId="3" borderId="8" xfId="1" applyNumberFormat="1" applyFont="1" applyFill="1" applyBorder="1" applyAlignment="1">
      <alignment horizontal="center" vertical="center" wrapText="1"/>
    </xf>
    <xf numFmtId="0" fontId="13" fillId="4" borderId="8" xfId="0" applyFont="1" applyFill="1" applyBorder="1" applyAlignment="1">
      <alignment horizontal="center" vertical="center" wrapText="1"/>
    </xf>
    <xf numFmtId="0" fontId="13" fillId="4" borderId="8" xfId="0" applyFont="1" applyFill="1" applyBorder="1" applyAlignment="1">
      <alignment horizontal="center" vertical="center" wrapText="1"/>
    </xf>
    <xf numFmtId="3" fontId="13" fillId="4" borderId="8" xfId="1" applyNumberFormat="1" applyFont="1" applyFill="1" applyBorder="1" applyAlignment="1">
      <alignment horizontal="center" vertical="center" wrapText="1"/>
    </xf>
    <xf numFmtId="0" fontId="14" fillId="0" borderId="0" xfId="0" applyFont="1" applyAlignment="1">
      <alignment horizontal="center"/>
    </xf>
    <xf numFmtId="0" fontId="11" fillId="2" borderId="8" xfId="0" applyFont="1" applyFill="1" applyBorder="1" applyAlignment="1">
      <alignment vertical="center"/>
    </xf>
    <xf numFmtId="165" fontId="12" fillId="0" borderId="8" xfId="1" applyNumberFormat="1" applyFont="1" applyBorder="1" applyAlignment="1">
      <alignment horizontal="center" vertical="center"/>
    </xf>
    <xf numFmtId="165" fontId="12" fillId="6" borderId="8" xfId="1" applyNumberFormat="1" applyFont="1" applyFill="1" applyBorder="1" applyAlignment="1">
      <alignment horizontal="center" vertical="center"/>
    </xf>
    <xf numFmtId="0" fontId="11" fillId="0" borderId="8" xfId="0" applyFont="1" applyBorder="1" applyAlignment="1">
      <alignment horizontal="center" vertical="center"/>
    </xf>
    <xf numFmtId="0" fontId="14" fillId="6" borderId="8" xfId="0" applyFont="1" applyFill="1" applyBorder="1"/>
    <xf numFmtId="0" fontId="14" fillId="0" borderId="4" xfId="0" applyFont="1" applyBorder="1"/>
    <xf numFmtId="0" fontId="14" fillId="0" borderId="1" xfId="0" applyFont="1" applyBorder="1"/>
    <xf numFmtId="165" fontId="12" fillId="7" borderId="8" xfId="1" applyNumberFormat="1" applyFont="1" applyFill="1" applyBorder="1" applyAlignment="1">
      <alignment horizontal="center" vertical="center"/>
    </xf>
    <xf numFmtId="3" fontId="12" fillId="0" borderId="8" xfId="0" applyNumberFormat="1" applyFont="1" applyBorder="1" applyAlignment="1">
      <alignment horizontal="left" vertical="center" wrapText="1"/>
    </xf>
    <xf numFmtId="0" fontId="16" fillId="0" borderId="0" xfId="0" applyFont="1"/>
    <xf numFmtId="0" fontId="17" fillId="0" borderId="5" xfId="0" applyFont="1" applyBorder="1" applyAlignment="1">
      <alignment horizontal="center"/>
    </xf>
    <xf numFmtId="0" fontId="10" fillId="0" borderId="2" xfId="0" applyFont="1" applyBorder="1" applyAlignment="1">
      <alignment horizontal="left" vertical="center"/>
    </xf>
    <xf numFmtId="0" fontId="10" fillId="0" borderId="4" xfId="0" applyFont="1" applyBorder="1" applyAlignment="1">
      <alignment horizontal="left" vertical="center"/>
    </xf>
    <xf numFmtId="0" fontId="10" fillId="0" borderId="4" xfId="0" applyFont="1" applyBorder="1" applyAlignment="1">
      <alignment horizontal="left" vertical="center"/>
    </xf>
    <xf numFmtId="0" fontId="14" fillId="0" borderId="2" xfId="0" applyFont="1" applyBorder="1" applyAlignment="1">
      <alignment horizontal="left" vertical="center" wrapText="1"/>
    </xf>
    <xf numFmtId="0" fontId="14" fillId="0" borderId="3" xfId="0" applyFont="1" applyBorder="1" applyAlignment="1">
      <alignment horizontal="left" vertical="center" wrapText="1"/>
    </xf>
    <xf numFmtId="0" fontId="14" fillId="0" borderId="4" xfId="0" applyFont="1" applyBorder="1" applyAlignment="1">
      <alignment horizontal="left" vertical="center" wrapText="1"/>
    </xf>
    <xf numFmtId="0" fontId="14" fillId="0" borderId="1" xfId="0" applyFont="1" applyBorder="1" applyAlignment="1">
      <alignment vertical="center"/>
    </xf>
    <xf numFmtId="0" fontId="14" fillId="0" borderId="2" xfId="0" applyFont="1" applyBorder="1" applyAlignment="1">
      <alignment horizontal="left" vertical="center"/>
    </xf>
    <xf numFmtId="0" fontId="14" fillId="0" borderId="3" xfId="0" applyFont="1" applyBorder="1" applyAlignment="1">
      <alignment horizontal="left" vertical="center"/>
    </xf>
    <xf numFmtId="0" fontId="14" fillId="0" borderId="4" xfId="0" applyFont="1" applyBorder="1" applyAlignment="1">
      <alignment horizontal="left" vertical="center"/>
    </xf>
    <xf numFmtId="0" fontId="12" fillId="0" borderId="2" xfId="0" applyFont="1" applyBorder="1" applyAlignment="1">
      <alignment horizontal="left" vertical="center" wrapText="1"/>
    </xf>
    <xf numFmtId="0" fontId="12" fillId="0" borderId="3" xfId="0" applyFont="1" applyBorder="1" applyAlignment="1">
      <alignment horizontal="left" vertical="center" wrapText="1"/>
    </xf>
  </cellXfs>
  <cellStyles count="10">
    <cellStyle name="Comma" xfId="1" builtinId="3"/>
    <cellStyle name="Comma 2" xfId="7" xr:uid="{89E6D7C5-0DF3-425F-AAE9-F6166D2F082B}"/>
    <cellStyle name="Comma 2 2" xfId="9" xr:uid="{F698A2C1-5CB0-42BE-B8D2-D45D23EA13DF}"/>
    <cellStyle name="Hyperlink 2" xfId="4" xr:uid="{1F69A8EA-350B-4267-9D13-C65F518EF1B6}"/>
    <cellStyle name="Normal" xfId="0" builtinId="0"/>
    <cellStyle name="Normal 2" xfId="3" xr:uid="{F8BB9E2B-D90D-4D34-A548-32854BD57B26}"/>
    <cellStyle name="Normal 2 2" xfId="6" xr:uid="{2A8029A5-6569-40BF-B538-217280711878}"/>
    <cellStyle name="Normal 2 3" xfId="8" xr:uid="{C04C8D8D-9BA3-459B-B9C7-463339A7C310}"/>
    <cellStyle name="Normal 3" xfId="2" xr:uid="{FCD8881D-E0AC-4217-BE06-C44BC5356D07}"/>
    <cellStyle name="Normal 3 2 2 3" xfId="5" xr:uid="{061B5486-021A-47FF-8A8A-B1FC2830F722}"/>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9BCBCB"/>
      <color rgb="FF92C4D4"/>
      <color rgb="FF59C0C3"/>
      <color rgb="FF5FC3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90055</xdr:colOff>
      <xdr:row>1</xdr:row>
      <xdr:rowOff>19050</xdr:rowOff>
    </xdr:from>
    <xdr:to>
      <xdr:col>1</xdr:col>
      <xdr:colOff>594618</xdr:colOff>
      <xdr:row>5</xdr:row>
      <xdr:rowOff>169718</xdr:rowOff>
    </xdr:to>
    <xdr:pic>
      <xdr:nvPicPr>
        <xdr:cNvPr id="2" name="Picture 2" descr="Thienphuoc">
          <a:extLst>
            <a:ext uri="{FF2B5EF4-FFF2-40B4-BE49-F238E27FC236}">
              <a16:creationId xmlns:a16="http://schemas.microsoft.com/office/drawing/2014/main" id="{73A63B31-E2ED-4C49-ABA5-6555423B35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055" y="226868"/>
          <a:ext cx="972154" cy="9646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6F0B0-400C-40BC-B56F-9C536151D303}">
  <sheetPr>
    <pageSetUpPr fitToPage="1"/>
  </sheetPr>
  <dimension ref="A1:G119"/>
  <sheetViews>
    <sheetView tabSelected="1" view="pageBreakPreview" topLeftCell="A19" zoomScale="55" zoomScaleNormal="100" zoomScaleSheetLayoutView="55" workbookViewId="0">
      <selection activeCell="D36" sqref="D36"/>
    </sheetView>
  </sheetViews>
  <sheetFormatPr defaultColWidth="49.875" defaultRowHeight="15" x14ac:dyDescent="0.25"/>
  <cols>
    <col min="1" max="1" width="6.125" style="2" customWidth="1"/>
    <col min="2" max="2" width="13.5" style="2" customWidth="1"/>
    <col min="3" max="3" width="27.75" style="2" customWidth="1"/>
    <col min="4" max="4" width="13.75" style="2" bestFit="1" customWidth="1"/>
    <col min="5" max="7" width="13.25" style="2" customWidth="1"/>
    <col min="8" max="252" width="49.875" style="2"/>
    <col min="253" max="253" width="6.125" style="2" customWidth="1"/>
    <col min="254" max="254" width="22.125" style="2" customWidth="1"/>
    <col min="255" max="255" width="45.25" style="2" customWidth="1"/>
    <col min="256" max="258" width="12.375" style="2" customWidth="1"/>
    <col min="259" max="259" width="15.75" style="2" customWidth="1"/>
    <col min="260" max="508" width="49.875" style="2"/>
    <col min="509" max="509" width="6.125" style="2" customWidth="1"/>
    <col min="510" max="510" width="22.125" style="2" customWidth="1"/>
    <col min="511" max="511" width="45.25" style="2" customWidth="1"/>
    <col min="512" max="514" width="12.375" style="2" customWidth="1"/>
    <col min="515" max="515" width="15.75" style="2" customWidth="1"/>
    <col min="516" max="764" width="49.875" style="2"/>
    <col min="765" max="765" width="6.125" style="2" customWidth="1"/>
    <col min="766" max="766" width="22.125" style="2" customWidth="1"/>
    <col min="767" max="767" width="45.25" style="2" customWidth="1"/>
    <col min="768" max="770" width="12.375" style="2" customWidth="1"/>
    <col min="771" max="771" width="15.75" style="2" customWidth="1"/>
    <col min="772" max="1020" width="49.875" style="2"/>
    <col min="1021" max="1021" width="6.125" style="2" customWidth="1"/>
    <col min="1022" max="1022" width="22.125" style="2" customWidth="1"/>
    <col min="1023" max="1023" width="45.25" style="2" customWidth="1"/>
    <col min="1024" max="1026" width="12.375" style="2" customWidth="1"/>
    <col min="1027" max="1027" width="15.75" style="2" customWidth="1"/>
    <col min="1028" max="1276" width="49.875" style="2"/>
    <col min="1277" max="1277" width="6.125" style="2" customWidth="1"/>
    <col min="1278" max="1278" width="22.125" style="2" customWidth="1"/>
    <col min="1279" max="1279" width="45.25" style="2" customWidth="1"/>
    <col min="1280" max="1282" width="12.375" style="2" customWidth="1"/>
    <col min="1283" max="1283" width="15.75" style="2" customWidth="1"/>
    <col min="1284" max="1532" width="49.875" style="2"/>
    <col min="1533" max="1533" width="6.125" style="2" customWidth="1"/>
    <col min="1534" max="1534" width="22.125" style="2" customWidth="1"/>
    <col min="1535" max="1535" width="45.25" style="2" customWidth="1"/>
    <col min="1536" max="1538" width="12.375" style="2" customWidth="1"/>
    <col min="1539" max="1539" width="15.75" style="2" customWidth="1"/>
    <col min="1540" max="1788" width="49.875" style="2"/>
    <col min="1789" max="1789" width="6.125" style="2" customWidth="1"/>
    <col min="1790" max="1790" width="22.125" style="2" customWidth="1"/>
    <col min="1791" max="1791" width="45.25" style="2" customWidth="1"/>
    <col min="1792" max="1794" width="12.375" style="2" customWidth="1"/>
    <col min="1795" max="1795" width="15.75" style="2" customWidth="1"/>
    <col min="1796" max="2044" width="49.875" style="2"/>
    <col min="2045" max="2045" width="6.125" style="2" customWidth="1"/>
    <col min="2046" max="2046" width="22.125" style="2" customWidth="1"/>
    <col min="2047" max="2047" width="45.25" style="2" customWidth="1"/>
    <col min="2048" max="2050" width="12.375" style="2" customWidth="1"/>
    <col min="2051" max="2051" width="15.75" style="2" customWidth="1"/>
    <col min="2052" max="2300" width="49.875" style="2"/>
    <col min="2301" max="2301" width="6.125" style="2" customWidth="1"/>
    <col min="2302" max="2302" width="22.125" style="2" customWidth="1"/>
    <col min="2303" max="2303" width="45.25" style="2" customWidth="1"/>
    <col min="2304" max="2306" width="12.375" style="2" customWidth="1"/>
    <col min="2307" max="2307" width="15.75" style="2" customWidth="1"/>
    <col min="2308" max="2556" width="49.875" style="2"/>
    <col min="2557" max="2557" width="6.125" style="2" customWidth="1"/>
    <col min="2558" max="2558" width="22.125" style="2" customWidth="1"/>
    <col min="2559" max="2559" width="45.25" style="2" customWidth="1"/>
    <col min="2560" max="2562" width="12.375" style="2" customWidth="1"/>
    <col min="2563" max="2563" width="15.75" style="2" customWidth="1"/>
    <col min="2564" max="2812" width="49.875" style="2"/>
    <col min="2813" max="2813" width="6.125" style="2" customWidth="1"/>
    <col min="2814" max="2814" width="22.125" style="2" customWidth="1"/>
    <col min="2815" max="2815" width="45.25" style="2" customWidth="1"/>
    <col min="2816" max="2818" width="12.375" style="2" customWidth="1"/>
    <col min="2819" max="2819" width="15.75" style="2" customWidth="1"/>
    <col min="2820" max="3068" width="49.875" style="2"/>
    <col min="3069" max="3069" width="6.125" style="2" customWidth="1"/>
    <col min="3070" max="3070" width="22.125" style="2" customWidth="1"/>
    <col min="3071" max="3071" width="45.25" style="2" customWidth="1"/>
    <col min="3072" max="3074" width="12.375" style="2" customWidth="1"/>
    <col min="3075" max="3075" width="15.75" style="2" customWidth="1"/>
    <col min="3076" max="3324" width="49.875" style="2"/>
    <col min="3325" max="3325" width="6.125" style="2" customWidth="1"/>
    <col min="3326" max="3326" width="22.125" style="2" customWidth="1"/>
    <col min="3327" max="3327" width="45.25" style="2" customWidth="1"/>
    <col min="3328" max="3330" width="12.375" style="2" customWidth="1"/>
    <col min="3331" max="3331" width="15.75" style="2" customWidth="1"/>
    <col min="3332" max="3580" width="49.875" style="2"/>
    <col min="3581" max="3581" width="6.125" style="2" customWidth="1"/>
    <col min="3582" max="3582" width="22.125" style="2" customWidth="1"/>
    <col min="3583" max="3583" width="45.25" style="2" customWidth="1"/>
    <col min="3584" max="3586" width="12.375" style="2" customWidth="1"/>
    <col min="3587" max="3587" width="15.75" style="2" customWidth="1"/>
    <col min="3588" max="3836" width="49.875" style="2"/>
    <col min="3837" max="3837" width="6.125" style="2" customWidth="1"/>
    <col min="3838" max="3838" width="22.125" style="2" customWidth="1"/>
    <col min="3839" max="3839" width="45.25" style="2" customWidth="1"/>
    <col min="3840" max="3842" width="12.375" style="2" customWidth="1"/>
    <col min="3843" max="3843" width="15.75" style="2" customWidth="1"/>
    <col min="3844" max="4092" width="49.875" style="2"/>
    <col min="4093" max="4093" width="6.125" style="2" customWidth="1"/>
    <col min="4094" max="4094" width="22.125" style="2" customWidth="1"/>
    <col min="4095" max="4095" width="45.25" style="2" customWidth="1"/>
    <col min="4096" max="4098" width="12.375" style="2" customWidth="1"/>
    <col min="4099" max="4099" width="15.75" style="2" customWidth="1"/>
    <col min="4100" max="4348" width="49.875" style="2"/>
    <col min="4349" max="4349" width="6.125" style="2" customWidth="1"/>
    <col min="4350" max="4350" width="22.125" style="2" customWidth="1"/>
    <col min="4351" max="4351" width="45.25" style="2" customWidth="1"/>
    <col min="4352" max="4354" width="12.375" style="2" customWidth="1"/>
    <col min="4355" max="4355" width="15.75" style="2" customWidth="1"/>
    <col min="4356" max="4604" width="49.875" style="2"/>
    <col min="4605" max="4605" width="6.125" style="2" customWidth="1"/>
    <col min="4606" max="4606" width="22.125" style="2" customWidth="1"/>
    <col min="4607" max="4607" width="45.25" style="2" customWidth="1"/>
    <col min="4608" max="4610" width="12.375" style="2" customWidth="1"/>
    <col min="4611" max="4611" width="15.75" style="2" customWidth="1"/>
    <col min="4612" max="4860" width="49.875" style="2"/>
    <col min="4861" max="4861" width="6.125" style="2" customWidth="1"/>
    <col min="4862" max="4862" width="22.125" style="2" customWidth="1"/>
    <col min="4863" max="4863" width="45.25" style="2" customWidth="1"/>
    <col min="4864" max="4866" width="12.375" style="2" customWidth="1"/>
    <col min="4867" max="4867" width="15.75" style="2" customWidth="1"/>
    <col min="4868" max="5116" width="49.875" style="2"/>
    <col min="5117" max="5117" width="6.125" style="2" customWidth="1"/>
    <col min="5118" max="5118" width="22.125" style="2" customWidth="1"/>
    <col min="5119" max="5119" width="45.25" style="2" customWidth="1"/>
    <col min="5120" max="5122" width="12.375" style="2" customWidth="1"/>
    <col min="5123" max="5123" width="15.75" style="2" customWidth="1"/>
    <col min="5124" max="5372" width="49.875" style="2"/>
    <col min="5373" max="5373" width="6.125" style="2" customWidth="1"/>
    <col min="5374" max="5374" width="22.125" style="2" customWidth="1"/>
    <col min="5375" max="5375" width="45.25" style="2" customWidth="1"/>
    <col min="5376" max="5378" width="12.375" style="2" customWidth="1"/>
    <col min="5379" max="5379" width="15.75" style="2" customWidth="1"/>
    <col min="5380" max="5628" width="49.875" style="2"/>
    <col min="5629" max="5629" width="6.125" style="2" customWidth="1"/>
    <col min="5630" max="5630" width="22.125" style="2" customWidth="1"/>
    <col min="5631" max="5631" width="45.25" style="2" customWidth="1"/>
    <col min="5632" max="5634" width="12.375" style="2" customWidth="1"/>
    <col min="5635" max="5635" width="15.75" style="2" customWidth="1"/>
    <col min="5636" max="5884" width="49.875" style="2"/>
    <col min="5885" max="5885" width="6.125" style="2" customWidth="1"/>
    <col min="5886" max="5886" width="22.125" style="2" customWidth="1"/>
    <col min="5887" max="5887" width="45.25" style="2" customWidth="1"/>
    <col min="5888" max="5890" width="12.375" style="2" customWidth="1"/>
    <col min="5891" max="5891" width="15.75" style="2" customWidth="1"/>
    <col min="5892" max="6140" width="49.875" style="2"/>
    <col min="6141" max="6141" width="6.125" style="2" customWidth="1"/>
    <col min="6142" max="6142" width="22.125" style="2" customWidth="1"/>
    <col min="6143" max="6143" width="45.25" style="2" customWidth="1"/>
    <col min="6144" max="6146" width="12.375" style="2" customWidth="1"/>
    <col min="6147" max="6147" width="15.75" style="2" customWidth="1"/>
    <col min="6148" max="6396" width="49.875" style="2"/>
    <col min="6397" max="6397" width="6.125" style="2" customWidth="1"/>
    <col min="6398" max="6398" width="22.125" style="2" customWidth="1"/>
    <col min="6399" max="6399" width="45.25" style="2" customWidth="1"/>
    <col min="6400" max="6402" width="12.375" style="2" customWidth="1"/>
    <col min="6403" max="6403" width="15.75" style="2" customWidth="1"/>
    <col min="6404" max="6652" width="49.875" style="2"/>
    <col min="6653" max="6653" width="6.125" style="2" customWidth="1"/>
    <col min="6654" max="6654" width="22.125" style="2" customWidth="1"/>
    <col min="6655" max="6655" width="45.25" style="2" customWidth="1"/>
    <col min="6656" max="6658" width="12.375" style="2" customWidth="1"/>
    <col min="6659" max="6659" width="15.75" style="2" customWidth="1"/>
    <col min="6660" max="6908" width="49.875" style="2"/>
    <col min="6909" max="6909" width="6.125" style="2" customWidth="1"/>
    <col min="6910" max="6910" width="22.125" style="2" customWidth="1"/>
    <col min="6911" max="6911" width="45.25" style="2" customWidth="1"/>
    <col min="6912" max="6914" width="12.375" style="2" customWidth="1"/>
    <col min="6915" max="6915" width="15.75" style="2" customWidth="1"/>
    <col min="6916" max="7164" width="49.875" style="2"/>
    <col min="7165" max="7165" width="6.125" style="2" customWidth="1"/>
    <col min="7166" max="7166" width="22.125" style="2" customWidth="1"/>
    <col min="7167" max="7167" width="45.25" style="2" customWidth="1"/>
    <col min="7168" max="7170" width="12.375" style="2" customWidth="1"/>
    <col min="7171" max="7171" width="15.75" style="2" customWidth="1"/>
    <col min="7172" max="7420" width="49.875" style="2"/>
    <col min="7421" max="7421" width="6.125" style="2" customWidth="1"/>
    <col min="7422" max="7422" width="22.125" style="2" customWidth="1"/>
    <col min="7423" max="7423" width="45.25" style="2" customWidth="1"/>
    <col min="7424" max="7426" width="12.375" style="2" customWidth="1"/>
    <col min="7427" max="7427" width="15.75" style="2" customWidth="1"/>
    <col min="7428" max="7676" width="49.875" style="2"/>
    <col min="7677" max="7677" width="6.125" style="2" customWidth="1"/>
    <col min="7678" max="7678" width="22.125" style="2" customWidth="1"/>
    <col min="7679" max="7679" width="45.25" style="2" customWidth="1"/>
    <col min="7680" max="7682" width="12.375" style="2" customWidth="1"/>
    <col min="7683" max="7683" width="15.75" style="2" customWidth="1"/>
    <col min="7684" max="7932" width="49.875" style="2"/>
    <col min="7933" max="7933" width="6.125" style="2" customWidth="1"/>
    <col min="7934" max="7934" width="22.125" style="2" customWidth="1"/>
    <col min="7935" max="7935" width="45.25" style="2" customWidth="1"/>
    <col min="7936" max="7938" width="12.375" style="2" customWidth="1"/>
    <col min="7939" max="7939" width="15.75" style="2" customWidth="1"/>
    <col min="7940" max="8188" width="49.875" style="2"/>
    <col min="8189" max="8189" width="6.125" style="2" customWidth="1"/>
    <col min="8190" max="8190" width="22.125" style="2" customWidth="1"/>
    <col min="8191" max="8191" width="45.25" style="2" customWidth="1"/>
    <col min="8192" max="8194" width="12.375" style="2" customWidth="1"/>
    <col min="8195" max="8195" width="15.75" style="2" customWidth="1"/>
    <col min="8196" max="8444" width="49.875" style="2"/>
    <col min="8445" max="8445" width="6.125" style="2" customWidth="1"/>
    <col min="8446" max="8446" width="22.125" style="2" customWidth="1"/>
    <col min="8447" max="8447" width="45.25" style="2" customWidth="1"/>
    <col min="8448" max="8450" width="12.375" style="2" customWidth="1"/>
    <col min="8451" max="8451" width="15.75" style="2" customWidth="1"/>
    <col min="8452" max="8700" width="49.875" style="2"/>
    <col min="8701" max="8701" width="6.125" style="2" customWidth="1"/>
    <col min="8702" max="8702" width="22.125" style="2" customWidth="1"/>
    <col min="8703" max="8703" width="45.25" style="2" customWidth="1"/>
    <col min="8704" max="8706" width="12.375" style="2" customWidth="1"/>
    <col min="8707" max="8707" width="15.75" style="2" customWidth="1"/>
    <col min="8708" max="8956" width="49.875" style="2"/>
    <col min="8957" max="8957" width="6.125" style="2" customWidth="1"/>
    <col min="8958" max="8958" width="22.125" style="2" customWidth="1"/>
    <col min="8959" max="8959" width="45.25" style="2" customWidth="1"/>
    <col min="8960" max="8962" width="12.375" style="2" customWidth="1"/>
    <col min="8963" max="8963" width="15.75" style="2" customWidth="1"/>
    <col min="8964" max="9212" width="49.875" style="2"/>
    <col min="9213" max="9213" width="6.125" style="2" customWidth="1"/>
    <col min="9214" max="9214" width="22.125" style="2" customWidth="1"/>
    <col min="9215" max="9215" width="45.25" style="2" customWidth="1"/>
    <col min="9216" max="9218" width="12.375" style="2" customWidth="1"/>
    <col min="9219" max="9219" width="15.75" style="2" customWidth="1"/>
    <col min="9220" max="9468" width="49.875" style="2"/>
    <col min="9469" max="9469" width="6.125" style="2" customWidth="1"/>
    <col min="9470" max="9470" width="22.125" style="2" customWidth="1"/>
    <col min="9471" max="9471" width="45.25" style="2" customWidth="1"/>
    <col min="9472" max="9474" width="12.375" style="2" customWidth="1"/>
    <col min="9475" max="9475" width="15.75" style="2" customWidth="1"/>
    <col min="9476" max="9724" width="49.875" style="2"/>
    <col min="9725" max="9725" width="6.125" style="2" customWidth="1"/>
    <col min="9726" max="9726" width="22.125" style="2" customWidth="1"/>
    <col min="9727" max="9727" width="45.25" style="2" customWidth="1"/>
    <col min="9728" max="9730" width="12.375" style="2" customWidth="1"/>
    <col min="9731" max="9731" width="15.75" style="2" customWidth="1"/>
    <col min="9732" max="9980" width="49.875" style="2"/>
    <col min="9981" max="9981" width="6.125" style="2" customWidth="1"/>
    <col min="9982" max="9982" width="22.125" style="2" customWidth="1"/>
    <col min="9983" max="9983" width="45.25" style="2" customWidth="1"/>
    <col min="9984" max="9986" width="12.375" style="2" customWidth="1"/>
    <col min="9987" max="9987" width="15.75" style="2" customWidth="1"/>
    <col min="9988" max="10236" width="49.875" style="2"/>
    <col min="10237" max="10237" width="6.125" style="2" customWidth="1"/>
    <col min="10238" max="10238" width="22.125" style="2" customWidth="1"/>
    <col min="10239" max="10239" width="45.25" style="2" customWidth="1"/>
    <col min="10240" max="10242" width="12.375" style="2" customWidth="1"/>
    <col min="10243" max="10243" width="15.75" style="2" customWidth="1"/>
    <col min="10244" max="10492" width="49.875" style="2"/>
    <col min="10493" max="10493" width="6.125" style="2" customWidth="1"/>
    <col min="10494" max="10494" width="22.125" style="2" customWidth="1"/>
    <col min="10495" max="10495" width="45.25" style="2" customWidth="1"/>
    <col min="10496" max="10498" width="12.375" style="2" customWidth="1"/>
    <col min="10499" max="10499" width="15.75" style="2" customWidth="1"/>
    <col min="10500" max="10748" width="49.875" style="2"/>
    <col min="10749" max="10749" width="6.125" style="2" customWidth="1"/>
    <col min="10750" max="10750" width="22.125" style="2" customWidth="1"/>
    <col min="10751" max="10751" width="45.25" style="2" customWidth="1"/>
    <col min="10752" max="10754" width="12.375" style="2" customWidth="1"/>
    <col min="10755" max="10755" width="15.75" style="2" customWidth="1"/>
    <col min="10756" max="11004" width="49.875" style="2"/>
    <col min="11005" max="11005" width="6.125" style="2" customWidth="1"/>
    <col min="11006" max="11006" width="22.125" style="2" customWidth="1"/>
    <col min="11007" max="11007" width="45.25" style="2" customWidth="1"/>
    <col min="11008" max="11010" width="12.375" style="2" customWidth="1"/>
    <col min="11011" max="11011" width="15.75" style="2" customWidth="1"/>
    <col min="11012" max="11260" width="49.875" style="2"/>
    <col min="11261" max="11261" width="6.125" style="2" customWidth="1"/>
    <col min="11262" max="11262" width="22.125" style="2" customWidth="1"/>
    <col min="11263" max="11263" width="45.25" style="2" customWidth="1"/>
    <col min="11264" max="11266" width="12.375" style="2" customWidth="1"/>
    <col min="11267" max="11267" width="15.75" style="2" customWidth="1"/>
    <col min="11268" max="11516" width="49.875" style="2"/>
    <col min="11517" max="11517" width="6.125" style="2" customWidth="1"/>
    <col min="11518" max="11518" width="22.125" style="2" customWidth="1"/>
    <col min="11519" max="11519" width="45.25" style="2" customWidth="1"/>
    <col min="11520" max="11522" width="12.375" style="2" customWidth="1"/>
    <col min="11523" max="11523" width="15.75" style="2" customWidth="1"/>
    <col min="11524" max="11772" width="49.875" style="2"/>
    <col min="11773" max="11773" width="6.125" style="2" customWidth="1"/>
    <col min="11774" max="11774" width="22.125" style="2" customWidth="1"/>
    <col min="11775" max="11775" width="45.25" style="2" customWidth="1"/>
    <col min="11776" max="11778" width="12.375" style="2" customWidth="1"/>
    <col min="11779" max="11779" width="15.75" style="2" customWidth="1"/>
    <col min="11780" max="12028" width="49.875" style="2"/>
    <col min="12029" max="12029" width="6.125" style="2" customWidth="1"/>
    <col min="12030" max="12030" width="22.125" style="2" customWidth="1"/>
    <col min="12031" max="12031" width="45.25" style="2" customWidth="1"/>
    <col min="12032" max="12034" width="12.375" style="2" customWidth="1"/>
    <col min="12035" max="12035" width="15.75" style="2" customWidth="1"/>
    <col min="12036" max="12284" width="49.875" style="2"/>
    <col min="12285" max="12285" width="6.125" style="2" customWidth="1"/>
    <col min="12286" max="12286" width="22.125" style="2" customWidth="1"/>
    <col min="12287" max="12287" width="45.25" style="2" customWidth="1"/>
    <col min="12288" max="12290" width="12.375" style="2" customWidth="1"/>
    <col min="12291" max="12291" width="15.75" style="2" customWidth="1"/>
    <col min="12292" max="12540" width="49.875" style="2"/>
    <col min="12541" max="12541" width="6.125" style="2" customWidth="1"/>
    <col min="12542" max="12542" width="22.125" style="2" customWidth="1"/>
    <col min="12543" max="12543" width="45.25" style="2" customWidth="1"/>
    <col min="12544" max="12546" width="12.375" style="2" customWidth="1"/>
    <col min="12547" max="12547" width="15.75" style="2" customWidth="1"/>
    <col min="12548" max="12796" width="49.875" style="2"/>
    <col min="12797" max="12797" width="6.125" style="2" customWidth="1"/>
    <col min="12798" max="12798" width="22.125" style="2" customWidth="1"/>
    <col min="12799" max="12799" width="45.25" style="2" customWidth="1"/>
    <col min="12800" max="12802" width="12.375" style="2" customWidth="1"/>
    <col min="12803" max="12803" width="15.75" style="2" customWidth="1"/>
    <col min="12804" max="13052" width="49.875" style="2"/>
    <col min="13053" max="13053" width="6.125" style="2" customWidth="1"/>
    <col min="13054" max="13054" width="22.125" style="2" customWidth="1"/>
    <col min="13055" max="13055" width="45.25" style="2" customWidth="1"/>
    <col min="13056" max="13058" width="12.375" style="2" customWidth="1"/>
    <col min="13059" max="13059" width="15.75" style="2" customWidth="1"/>
    <col min="13060" max="13308" width="49.875" style="2"/>
    <col min="13309" max="13309" width="6.125" style="2" customWidth="1"/>
    <col min="13310" max="13310" width="22.125" style="2" customWidth="1"/>
    <col min="13311" max="13311" width="45.25" style="2" customWidth="1"/>
    <col min="13312" max="13314" width="12.375" style="2" customWidth="1"/>
    <col min="13315" max="13315" width="15.75" style="2" customWidth="1"/>
    <col min="13316" max="13564" width="49.875" style="2"/>
    <col min="13565" max="13565" width="6.125" style="2" customWidth="1"/>
    <col min="13566" max="13566" width="22.125" style="2" customWidth="1"/>
    <col min="13567" max="13567" width="45.25" style="2" customWidth="1"/>
    <col min="13568" max="13570" width="12.375" style="2" customWidth="1"/>
    <col min="13571" max="13571" width="15.75" style="2" customWidth="1"/>
    <col min="13572" max="13820" width="49.875" style="2"/>
    <col min="13821" max="13821" width="6.125" style="2" customWidth="1"/>
    <col min="13822" max="13822" width="22.125" style="2" customWidth="1"/>
    <col min="13823" max="13823" width="45.25" style="2" customWidth="1"/>
    <col min="13824" max="13826" width="12.375" style="2" customWidth="1"/>
    <col min="13827" max="13827" width="15.75" style="2" customWidth="1"/>
    <col min="13828" max="14076" width="49.875" style="2"/>
    <col min="14077" max="14077" width="6.125" style="2" customWidth="1"/>
    <col min="14078" max="14078" width="22.125" style="2" customWidth="1"/>
    <col min="14079" max="14079" width="45.25" style="2" customWidth="1"/>
    <col min="14080" max="14082" width="12.375" style="2" customWidth="1"/>
    <col min="14083" max="14083" width="15.75" style="2" customWidth="1"/>
    <col min="14084" max="14332" width="49.875" style="2"/>
    <col min="14333" max="14333" width="6.125" style="2" customWidth="1"/>
    <col min="14334" max="14334" width="22.125" style="2" customWidth="1"/>
    <col min="14335" max="14335" width="45.25" style="2" customWidth="1"/>
    <col min="14336" max="14338" width="12.375" style="2" customWidth="1"/>
    <col min="14339" max="14339" width="15.75" style="2" customWidth="1"/>
    <col min="14340" max="14588" width="49.875" style="2"/>
    <col min="14589" max="14589" width="6.125" style="2" customWidth="1"/>
    <col min="14590" max="14590" width="22.125" style="2" customWidth="1"/>
    <col min="14591" max="14591" width="45.25" style="2" customWidth="1"/>
    <col min="14592" max="14594" width="12.375" style="2" customWidth="1"/>
    <col min="14595" max="14595" width="15.75" style="2" customWidth="1"/>
    <col min="14596" max="14844" width="49.875" style="2"/>
    <col min="14845" max="14845" width="6.125" style="2" customWidth="1"/>
    <col min="14846" max="14846" width="22.125" style="2" customWidth="1"/>
    <col min="14847" max="14847" width="45.25" style="2" customWidth="1"/>
    <col min="14848" max="14850" width="12.375" style="2" customWidth="1"/>
    <col min="14851" max="14851" width="15.75" style="2" customWidth="1"/>
    <col min="14852" max="15100" width="49.875" style="2"/>
    <col min="15101" max="15101" width="6.125" style="2" customWidth="1"/>
    <col min="15102" max="15102" width="22.125" style="2" customWidth="1"/>
    <col min="15103" max="15103" width="45.25" style="2" customWidth="1"/>
    <col min="15104" max="15106" width="12.375" style="2" customWidth="1"/>
    <col min="15107" max="15107" width="15.75" style="2" customWidth="1"/>
    <col min="15108" max="15356" width="49.875" style="2"/>
    <col min="15357" max="15357" width="6.125" style="2" customWidth="1"/>
    <col min="15358" max="15358" width="22.125" style="2" customWidth="1"/>
    <col min="15359" max="15359" width="45.25" style="2" customWidth="1"/>
    <col min="15360" max="15362" width="12.375" style="2" customWidth="1"/>
    <col min="15363" max="15363" width="15.75" style="2" customWidth="1"/>
    <col min="15364" max="15612" width="49.875" style="2"/>
    <col min="15613" max="15613" width="6.125" style="2" customWidth="1"/>
    <col min="15614" max="15614" width="22.125" style="2" customWidth="1"/>
    <col min="15615" max="15615" width="45.25" style="2" customWidth="1"/>
    <col min="15616" max="15618" width="12.375" style="2" customWidth="1"/>
    <col min="15619" max="15619" width="15.75" style="2" customWidth="1"/>
    <col min="15620" max="15868" width="49.875" style="2"/>
    <col min="15869" max="15869" width="6.125" style="2" customWidth="1"/>
    <col min="15870" max="15870" width="22.125" style="2" customWidth="1"/>
    <col min="15871" max="15871" width="45.25" style="2" customWidth="1"/>
    <col min="15872" max="15874" width="12.375" style="2" customWidth="1"/>
    <col min="15875" max="15875" width="15.75" style="2" customWidth="1"/>
    <col min="15876" max="16124" width="49.875" style="2"/>
    <col min="16125" max="16125" width="6.125" style="2" customWidth="1"/>
    <col min="16126" max="16126" width="22.125" style="2" customWidth="1"/>
    <col min="16127" max="16127" width="45.25" style="2" customWidth="1"/>
    <col min="16128" max="16130" width="12.375" style="2" customWidth="1"/>
    <col min="16131" max="16131" width="15.75" style="2" customWidth="1"/>
    <col min="16132" max="16384" width="49.875" style="2"/>
  </cols>
  <sheetData>
    <row r="1" spans="1:7" ht="15.75" customHeight="1" x14ac:dyDescent="0.25">
      <c r="A1" s="1" t="s">
        <v>4</v>
      </c>
      <c r="B1" s="1"/>
      <c r="C1" s="1"/>
      <c r="D1" s="1"/>
      <c r="E1" s="1"/>
      <c r="F1" s="1"/>
      <c r="G1" s="3"/>
    </row>
    <row r="2" spans="1:7" ht="15.75" customHeight="1" x14ac:dyDescent="0.25">
      <c r="A2" s="1" t="s">
        <v>5</v>
      </c>
      <c r="B2" s="1"/>
      <c r="C2" s="1"/>
      <c r="D2" s="1"/>
      <c r="E2" s="1"/>
      <c r="F2" s="1"/>
      <c r="G2" s="3"/>
    </row>
    <row r="3" spans="1:7" ht="15.75" customHeight="1" x14ac:dyDescent="0.25">
      <c r="A3" s="1" t="s">
        <v>6</v>
      </c>
      <c r="B3" s="1"/>
      <c r="C3" s="1"/>
      <c r="D3" s="1"/>
      <c r="E3" s="1"/>
      <c r="F3" s="1"/>
      <c r="G3" s="4"/>
    </row>
    <row r="4" spans="1:7" ht="15.75" customHeight="1" x14ac:dyDescent="0.25">
      <c r="A4" s="1" t="s">
        <v>7</v>
      </c>
      <c r="B4" s="1"/>
      <c r="C4" s="1"/>
      <c r="D4" s="1"/>
      <c r="E4" s="1"/>
      <c r="F4" s="1"/>
      <c r="G4" s="4"/>
    </row>
    <row r="5" spans="1:7" x14ac:dyDescent="0.25">
      <c r="A5" s="5"/>
      <c r="B5" s="6"/>
      <c r="C5" s="7"/>
    </row>
    <row r="6" spans="1:7" ht="26.25" customHeight="1" x14ac:dyDescent="0.25">
      <c r="A6" s="8" t="s">
        <v>0</v>
      </c>
      <c r="B6" s="9"/>
      <c r="C6" s="9"/>
      <c r="D6" s="9"/>
      <c r="E6" s="9"/>
      <c r="F6" s="9"/>
      <c r="G6" s="10"/>
    </row>
    <row r="7" spans="1:7" s="14" customFormat="1" ht="37.5" customHeight="1" x14ac:dyDescent="0.25">
      <c r="A7" s="11"/>
      <c r="B7" s="12" t="s">
        <v>82</v>
      </c>
      <c r="C7" s="12"/>
      <c r="D7" s="12"/>
      <c r="E7" s="12"/>
      <c r="F7" s="12"/>
      <c r="G7" s="13"/>
    </row>
    <row r="8" spans="1:7" s="14" customFormat="1" ht="54.75" customHeight="1" x14ac:dyDescent="0.25">
      <c r="A8" s="15" t="s">
        <v>8</v>
      </c>
      <c r="B8" s="16"/>
      <c r="C8" s="16"/>
      <c r="D8" s="16"/>
      <c r="E8" s="16"/>
      <c r="F8" s="16"/>
      <c r="G8" s="17"/>
    </row>
    <row r="9" spans="1:7" s="21" customFormat="1" ht="47.25" x14ac:dyDescent="0.25">
      <c r="A9" s="18" t="s">
        <v>16</v>
      </c>
      <c r="B9" s="19" t="s">
        <v>17</v>
      </c>
      <c r="C9" s="18" t="s">
        <v>1</v>
      </c>
      <c r="D9" s="20" t="s">
        <v>50</v>
      </c>
      <c r="E9" s="20" t="s">
        <v>49</v>
      </c>
      <c r="F9" s="20" t="s">
        <v>48</v>
      </c>
      <c r="G9" s="2"/>
    </row>
    <row r="10" spans="1:7" s="21" customFormat="1" ht="15.75" x14ac:dyDescent="0.25">
      <c r="A10" s="22" t="s">
        <v>29</v>
      </c>
      <c r="B10" s="22"/>
      <c r="C10" s="22"/>
      <c r="D10" s="22"/>
      <c r="E10" s="23"/>
      <c r="F10" s="23"/>
      <c r="G10" s="2"/>
    </row>
    <row r="11" spans="1:7" s="21" customFormat="1" ht="15.75" x14ac:dyDescent="0.25">
      <c r="A11" s="24">
        <v>1</v>
      </c>
      <c r="B11" s="25" t="s">
        <v>18</v>
      </c>
      <c r="C11" s="26" t="s">
        <v>30</v>
      </c>
      <c r="D11" s="27">
        <v>160000</v>
      </c>
      <c r="E11" s="27">
        <v>160000</v>
      </c>
      <c r="F11" s="27">
        <v>160000</v>
      </c>
    </row>
    <row r="12" spans="1:7" s="21" customFormat="1" ht="31.5" customHeight="1" x14ac:dyDescent="0.25">
      <c r="A12" s="24">
        <v>2</v>
      </c>
      <c r="B12" s="25"/>
      <c r="C12" s="26"/>
      <c r="D12" s="27"/>
      <c r="E12" s="27"/>
      <c r="F12" s="27"/>
    </row>
    <row r="13" spans="1:7" s="21" customFormat="1" ht="47.25" customHeight="1" x14ac:dyDescent="0.25">
      <c r="A13" s="24">
        <v>3</v>
      </c>
      <c r="B13" s="25"/>
      <c r="C13" s="26"/>
      <c r="D13" s="27"/>
      <c r="E13" s="27"/>
      <c r="F13" s="27"/>
    </row>
    <row r="14" spans="1:7" s="21" customFormat="1" ht="47.25" customHeight="1" x14ac:dyDescent="0.25">
      <c r="A14" s="24">
        <v>4</v>
      </c>
      <c r="B14" s="25"/>
      <c r="C14" s="26"/>
      <c r="D14" s="27"/>
      <c r="E14" s="27"/>
      <c r="F14" s="27"/>
    </row>
    <row r="15" spans="1:7" s="21" customFormat="1" ht="31.5" customHeight="1" x14ac:dyDescent="0.25">
      <c r="A15" s="24">
        <v>5</v>
      </c>
      <c r="B15" s="25"/>
      <c r="C15" s="26"/>
      <c r="D15" s="27"/>
      <c r="E15" s="27"/>
      <c r="F15" s="27"/>
    </row>
    <row r="16" spans="1:7" s="21" customFormat="1" ht="15.75" x14ac:dyDescent="0.25">
      <c r="A16" s="24">
        <v>6</v>
      </c>
      <c r="B16" s="25"/>
      <c r="C16" s="26"/>
      <c r="D16" s="27"/>
      <c r="E16" s="27"/>
      <c r="F16" s="27"/>
    </row>
    <row r="17" spans="1:6" s="21" customFormat="1" ht="15.75" x14ac:dyDescent="0.25">
      <c r="A17" s="24">
        <v>7</v>
      </c>
      <c r="B17" s="25"/>
      <c r="C17" s="28" t="s">
        <v>31</v>
      </c>
      <c r="D17" s="29"/>
      <c r="E17" s="30">
        <v>80000</v>
      </c>
      <c r="F17" s="30">
        <v>80000</v>
      </c>
    </row>
    <row r="18" spans="1:6" s="21" customFormat="1" ht="15.75" x14ac:dyDescent="0.25">
      <c r="A18" s="31">
        <v>8</v>
      </c>
      <c r="B18" s="32" t="s">
        <v>83</v>
      </c>
      <c r="C18" s="33" t="s">
        <v>32</v>
      </c>
      <c r="D18" s="30">
        <v>662000</v>
      </c>
      <c r="E18" s="30">
        <v>662000</v>
      </c>
      <c r="F18" s="30">
        <v>662000</v>
      </c>
    </row>
    <row r="19" spans="1:6" s="21" customFormat="1" ht="31.5" x14ac:dyDescent="0.25">
      <c r="A19" s="24">
        <v>9</v>
      </c>
      <c r="B19" s="32" t="s">
        <v>84</v>
      </c>
      <c r="C19" s="34" t="s">
        <v>51</v>
      </c>
      <c r="D19" s="30">
        <v>71000</v>
      </c>
      <c r="E19" s="30">
        <v>71000</v>
      </c>
      <c r="F19" s="30">
        <v>71000</v>
      </c>
    </row>
    <row r="20" spans="1:6" s="21" customFormat="1" ht="15.75" x14ac:dyDescent="0.25">
      <c r="A20" s="24">
        <v>10</v>
      </c>
      <c r="B20" s="25" t="s">
        <v>85</v>
      </c>
      <c r="C20" s="34" t="s">
        <v>52</v>
      </c>
      <c r="D20" s="30">
        <v>26000</v>
      </c>
      <c r="E20" s="30">
        <v>26000</v>
      </c>
      <c r="F20" s="30">
        <v>26000</v>
      </c>
    </row>
    <row r="21" spans="1:6" s="21" customFormat="1" ht="15.75" x14ac:dyDescent="0.25">
      <c r="A21" s="31">
        <v>11</v>
      </c>
      <c r="B21" s="25"/>
      <c r="C21" s="33" t="s">
        <v>53</v>
      </c>
      <c r="D21" s="30">
        <v>160000</v>
      </c>
      <c r="E21" s="30">
        <v>160000</v>
      </c>
      <c r="F21" s="30">
        <v>160000</v>
      </c>
    </row>
    <row r="22" spans="1:6" s="21" customFormat="1" ht="15.75" x14ac:dyDescent="0.25">
      <c r="A22" s="24">
        <v>12</v>
      </c>
      <c r="B22" s="32" t="s">
        <v>86</v>
      </c>
      <c r="C22" s="34" t="s">
        <v>19</v>
      </c>
      <c r="D22" s="30">
        <v>56000</v>
      </c>
      <c r="E22" s="30">
        <v>56000</v>
      </c>
      <c r="F22" s="30">
        <v>56000</v>
      </c>
    </row>
    <row r="23" spans="1:6" s="21" customFormat="1" ht="15.75" x14ac:dyDescent="0.25">
      <c r="A23" s="31">
        <v>13</v>
      </c>
      <c r="B23" s="25" t="s">
        <v>87</v>
      </c>
      <c r="C23" s="34" t="s">
        <v>24</v>
      </c>
      <c r="D23" s="30">
        <v>28000</v>
      </c>
      <c r="E23" s="30">
        <v>28000</v>
      </c>
      <c r="F23" s="30">
        <v>28000</v>
      </c>
    </row>
    <row r="24" spans="1:6" s="21" customFormat="1" ht="15.75" x14ac:dyDescent="0.25">
      <c r="A24" s="24">
        <v>14</v>
      </c>
      <c r="B24" s="25"/>
      <c r="C24" s="34" t="s">
        <v>54</v>
      </c>
      <c r="D24" s="30">
        <v>28000</v>
      </c>
      <c r="E24" s="30">
        <v>28000</v>
      </c>
      <c r="F24" s="30">
        <v>28000</v>
      </c>
    </row>
    <row r="25" spans="1:6" s="21" customFormat="1" ht="15.75" x14ac:dyDescent="0.25">
      <c r="A25" s="31">
        <v>15</v>
      </c>
      <c r="B25" s="25"/>
      <c r="C25" s="35" t="s">
        <v>55</v>
      </c>
      <c r="D25" s="30">
        <v>39000</v>
      </c>
      <c r="E25" s="30">
        <v>39000</v>
      </c>
      <c r="F25" s="30">
        <v>39000</v>
      </c>
    </row>
    <row r="26" spans="1:6" s="21" customFormat="1" ht="15.75" x14ac:dyDescent="0.25">
      <c r="A26" s="24">
        <v>16</v>
      </c>
      <c r="B26" s="25" t="s">
        <v>88</v>
      </c>
      <c r="C26" s="34" t="s">
        <v>25</v>
      </c>
      <c r="D26" s="30">
        <v>39000</v>
      </c>
      <c r="E26" s="30">
        <v>39000</v>
      </c>
      <c r="F26" s="30">
        <v>39000</v>
      </c>
    </row>
    <row r="27" spans="1:6" s="21" customFormat="1" ht="15.75" x14ac:dyDescent="0.25">
      <c r="A27" s="31">
        <v>17</v>
      </c>
      <c r="B27" s="25"/>
      <c r="C27" s="35" t="s">
        <v>20</v>
      </c>
      <c r="D27" s="30">
        <v>39000</v>
      </c>
      <c r="E27" s="30">
        <v>39000</v>
      </c>
      <c r="F27" s="30">
        <v>39000</v>
      </c>
    </row>
    <row r="28" spans="1:6" s="21" customFormat="1" ht="15.75" x14ac:dyDescent="0.25">
      <c r="A28" s="24">
        <v>18</v>
      </c>
      <c r="B28" s="25"/>
      <c r="C28" s="35" t="s">
        <v>33</v>
      </c>
      <c r="D28" s="30">
        <v>39000</v>
      </c>
      <c r="E28" s="30">
        <v>39000</v>
      </c>
      <c r="F28" s="30">
        <v>39000</v>
      </c>
    </row>
    <row r="29" spans="1:6" s="21" customFormat="1" ht="15.75" x14ac:dyDescent="0.25">
      <c r="A29" s="31">
        <v>19</v>
      </c>
      <c r="B29" s="36" t="s">
        <v>34</v>
      </c>
      <c r="C29" s="35" t="s">
        <v>56</v>
      </c>
      <c r="D29" s="30">
        <v>39000</v>
      </c>
      <c r="E29" s="30">
        <v>39000</v>
      </c>
      <c r="F29" s="30">
        <v>39000</v>
      </c>
    </row>
    <row r="30" spans="1:6" s="21" customFormat="1" ht="15.75" x14ac:dyDescent="0.25">
      <c r="A30" s="24">
        <v>20</v>
      </c>
      <c r="B30" s="36"/>
      <c r="C30" s="35" t="s">
        <v>57</v>
      </c>
      <c r="D30" s="30">
        <v>56000</v>
      </c>
      <c r="E30" s="30">
        <v>56000</v>
      </c>
      <c r="F30" s="30">
        <v>56000</v>
      </c>
    </row>
    <row r="31" spans="1:6" s="21" customFormat="1" ht="15.75" x14ac:dyDescent="0.25">
      <c r="A31" s="31">
        <v>21</v>
      </c>
      <c r="B31" s="36"/>
      <c r="C31" s="35" t="s">
        <v>58</v>
      </c>
      <c r="D31" s="30">
        <v>56000</v>
      </c>
      <c r="E31" s="30">
        <v>56000</v>
      </c>
      <c r="F31" s="30">
        <v>56000</v>
      </c>
    </row>
    <row r="32" spans="1:6" s="21" customFormat="1" ht="15.75" x14ac:dyDescent="0.25">
      <c r="A32" s="24">
        <v>22</v>
      </c>
      <c r="B32" s="36"/>
      <c r="C32" s="35" t="s">
        <v>59</v>
      </c>
      <c r="D32" s="30">
        <v>44000</v>
      </c>
      <c r="E32" s="30">
        <v>44000</v>
      </c>
      <c r="F32" s="30">
        <v>44000</v>
      </c>
    </row>
    <row r="33" spans="1:6" s="21" customFormat="1" ht="15.75" x14ac:dyDescent="0.25">
      <c r="A33" s="31">
        <v>23</v>
      </c>
      <c r="B33" s="36"/>
      <c r="C33" s="35" t="s">
        <v>21</v>
      </c>
      <c r="D33" s="30">
        <v>39000</v>
      </c>
      <c r="E33" s="30">
        <v>39000</v>
      </c>
      <c r="F33" s="30">
        <v>39000</v>
      </c>
    </row>
    <row r="34" spans="1:6" s="21" customFormat="1" ht="33.75" customHeight="1" x14ac:dyDescent="0.25">
      <c r="A34" s="24">
        <v>24</v>
      </c>
      <c r="B34" s="37" t="s">
        <v>89</v>
      </c>
      <c r="C34" s="33" t="s">
        <v>60</v>
      </c>
      <c r="D34" s="30">
        <v>39000</v>
      </c>
      <c r="E34" s="30">
        <v>39000</v>
      </c>
      <c r="F34" s="30">
        <v>39000</v>
      </c>
    </row>
    <row r="35" spans="1:6" s="21" customFormat="1" ht="31.5" x14ac:dyDescent="0.25">
      <c r="A35" s="31">
        <v>25</v>
      </c>
      <c r="B35" s="38" t="s">
        <v>35</v>
      </c>
      <c r="C35" s="33" t="s">
        <v>36</v>
      </c>
      <c r="D35" s="39">
        <v>28000</v>
      </c>
      <c r="E35" s="39">
        <v>28000</v>
      </c>
      <c r="F35" s="39">
        <v>28000</v>
      </c>
    </row>
    <row r="36" spans="1:6" s="21" customFormat="1" ht="15.75" x14ac:dyDescent="0.25">
      <c r="A36" s="24">
        <v>26</v>
      </c>
      <c r="B36" s="38"/>
      <c r="C36" s="33" t="s">
        <v>37</v>
      </c>
      <c r="D36" s="39">
        <v>19000</v>
      </c>
      <c r="E36" s="39">
        <v>19000</v>
      </c>
      <c r="F36" s="39">
        <v>19000</v>
      </c>
    </row>
    <row r="37" spans="1:6" s="21" customFormat="1" ht="15.75" x14ac:dyDescent="0.25">
      <c r="A37" s="31">
        <v>27</v>
      </c>
      <c r="B37" s="38" t="s">
        <v>90</v>
      </c>
      <c r="C37" s="33" t="s">
        <v>61</v>
      </c>
      <c r="D37" s="39">
        <v>129000</v>
      </c>
      <c r="E37" s="39">
        <v>129000</v>
      </c>
      <c r="F37" s="39">
        <v>129000</v>
      </c>
    </row>
    <row r="38" spans="1:6" s="21" customFormat="1" ht="15.75" x14ac:dyDescent="0.25">
      <c r="A38" s="24">
        <v>28</v>
      </c>
      <c r="B38" s="38"/>
      <c r="C38" s="33" t="s">
        <v>62</v>
      </c>
      <c r="D38" s="39">
        <v>129000</v>
      </c>
      <c r="E38" s="39">
        <v>129000</v>
      </c>
      <c r="F38" s="39">
        <v>129000</v>
      </c>
    </row>
    <row r="39" spans="1:6" s="21" customFormat="1" ht="15.75" x14ac:dyDescent="0.25">
      <c r="A39" s="31">
        <v>29</v>
      </c>
      <c r="B39" s="40"/>
      <c r="C39" s="33" t="s">
        <v>38</v>
      </c>
      <c r="D39" s="39">
        <v>389000</v>
      </c>
      <c r="E39" s="39">
        <v>389000</v>
      </c>
      <c r="F39" s="39">
        <v>389000</v>
      </c>
    </row>
    <row r="40" spans="1:6" s="21" customFormat="1" ht="15.75" x14ac:dyDescent="0.25">
      <c r="A40" s="24">
        <v>30</v>
      </c>
      <c r="B40" s="37"/>
      <c r="C40" s="33" t="s">
        <v>14</v>
      </c>
      <c r="D40" s="30">
        <v>164000</v>
      </c>
      <c r="E40" s="30">
        <v>164000</v>
      </c>
      <c r="F40" s="30">
        <v>164000</v>
      </c>
    </row>
    <row r="41" spans="1:6" s="21" customFormat="1" ht="15.75" x14ac:dyDescent="0.25">
      <c r="A41" s="31">
        <v>31</v>
      </c>
      <c r="B41" s="37"/>
      <c r="C41" s="33" t="s">
        <v>63</v>
      </c>
      <c r="D41" s="30">
        <v>218000</v>
      </c>
      <c r="E41" s="30">
        <v>218000</v>
      </c>
      <c r="F41" s="30">
        <v>218000</v>
      </c>
    </row>
    <row r="42" spans="1:6" s="21" customFormat="1" ht="15.75" x14ac:dyDescent="0.25">
      <c r="A42" s="24">
        <v>32</v>
      </c>
      <c r="B42" s="37"/>
      <c r="C42" s="33" t="s">
        <v>15</v>
      </c>
      <c r="D42" s="30">
        <v>114000</v>
      </c>
      <c r="E42" s="30">
        <v>114000</v>
      </c>
      <c r="F42" s="30">
        <v>114000</v>
      </c>
    </row>
    <row r="43" spans="1:6" s="21" customFormat="1" ht="15.75" x14ac:dyDescent="0.25">
      <c r="A43" s="31">
        <v>33</v>
      </c>
      <c r="B43" s="37"/>
      <c r="C43" s="33" t="s">
        <v>64</v>
      </c>
      <c r="D43" s="30">
        <v>163000</v>
      </c>
      <c r="E43" s="30">
        <v>163000</v>
      </c>
      <c r="F43" s="30">
        <v>163000</v>
      </c>
    </row>
    <row r="44" spans="1:6" s="21" customFormat="1" ht="15.75" x14ac:dyDescent="0.25">
      <c r="A44" s="24">
        <v>34</v>
      </c>
      <c r="B44" s="41" t="s">
        <v>22</v>
      </c>
      <c r="C44" s="33" t="s">
        <v>23</v>
      </c>
      <c r="D44" s="30">
        <v>163000</v>
      </c>
      <c r="E44" s="30">
        <v>163000</v>
      </c>
      <c r="F44" s="30">
        <v>163000</v>
      </c>
    </row>
    <row r="45" spans="1:6" s="21" customFormat="1" ht="15.75" x14ac:dyDescent="0.25">
      <c r="A45" s="31">
        <v>35</v>
      </c>
      <c r="B45" s="41"/>
      <c r="C45" s="33" t="s">
        <v>65</v>
      </c>
      <c r="D45" s="30">
        <v>163000</v>
      </c>
      <c r="E45" s="30">
        <v>163000</v>
      </c>
      <c r="F45" s="30">
        <v>163000</v>
      </c>
    </row>
    <row r="46" spans="1:6" s="21" customFormat="1" ht="15.75" x14ac:dyDescent="0.25">
      <c r="A46" s="24">
        <v>36</v>
      </c>
      <c r="B46" s="41"/>
      <c r="C46" s="33" t="s">
        <v>66</v>
      </c>
      <c r="D46" s="30">
        <v>163000</v>
      </c>
      <c r="E46" s="30">
        <v>163000</v>
      </c>
      <c r="F46" s="30">
        <v>163000</v>
      </c>
    </row>
    <row r="47" spans="1:6" s="21" customFormat="1" ht="47.25" x14ac:dyDescent="0.25">
      <c r="A47" s="31">
        <v>37</v>
      </c>
      <c r="B47" s="42"/>
      <c r="C47" s="33" t="s">
        <v>67</v>
      </c>
      <c r="D47" s="30">
        <v>662000</v>
      </c>
      <c r="E47" s="30">
        <v>662000</v>
      </c>
      <c r="F47" s="30">
        <v>662000</v>
      </c>
    </row>
    <row r="48" spans="1:6" s="21" customFormat="1" ht="15.75" x14ac:dyDescent="0.25">
      <c r="A48" s="24">
        <v>38</v>
      </c>
      <c r="B48" s="37"/>
      <c r="C48" s="33" t="s">
        <v>68</v>
      </c>
      <c r="D48" s="30">
        <v>74000</v>
      </c>
      <c r="E48" s="30">
        <v>74000</v>
      </c>
      <c r="F48" s="30">
        <v>74000</v>
      </c>
    </row>
    <row r="49" spans="1:7" s="21" customFormat="1" ht="31.5" customHeight="1" x14ac:dyDescent="0.25">
      <c r="A49" s="31">
        <v>39</v>
      </c>
      <c r="B49" s="43"/>
      <c r="C49" s="44" t="s">
        <v>13</v>
      </c>
      <c r="D49" s="30">
        <v>50000</v>
      </c>
      <c r="E49" s="30">
        <v>50000</v>
      </c>
      <c r="F49" s="30">
        <v>50000</v>
      </c>
    </row>
    <row r="50" spans="1:7" s="21" customFormat="1" ht="15.75" customHeight="1" x14ac:dyDescent="0.25">
      <c r="A50" s="45" t="s">
        <v>39</v>
      </c>
      <c r="B50" s="46"/>
      <c r="C50" s="46"/>
      <c r="D50" s="47">
        <f>SUM(D11:D49)</f>
        <v>4248000</v>
      </c>
      <c r="E50" s="47">
        <f>SUM(E11:E49)</f>
        <v>4328000</v>
      </c>
      <c r="F50" s="47">
        <f>SUM(F11:F49)</f>
        <v>4328000</v>
      </c>
      <c r="G50" s="2"/>
    </row>
    <row r="51" spans="1:7" s="21" customFormat="1" ht="15.75" x14ac:dyDescent="0.25">
      <c r="A51" s="22" t="s">
        <v>40</v>
      </c>
      <c r="B51" s="22"/>
      <c r="C51" s="22"/>
      <c r="D51" s="22"/>
      <c r="E51" s="23"/>
      <c r="F51" s="23"/>
      <c r="G51" s="2"/>
    </row>
    <row r="52" spans="1:7" s="51" customFormat="1" ht="15.75" x14ac:dyDescent="0.25">
      <c r="A52" s="48" t="s">
        <v>16</v>
      </c>
      <c r="B52" s="49" t="s">
        <v>17</v>
      </c>
      <c r="C52" s="49"/>
      <c r="D52" s="50" t="s">
        <v>26</v>
      </c>
      <c r="E52" s="50" t="s">
        <v>27</v>
      </c>
      <c r="F52" s="50" t="s">
        <v>28</v>
      </c>
    </row>
    <row r="53" spans="1:7" s="21" customFormat="1" ht="31.5" x14ac:dyDescent="0.25">
      <c r="A53" s="31">
        <v>40</v>
      </c>
      <c r="B53" s="52" t="s">
        <v>22</v>
      </c>
      <c r="C53" s="33" t="s">
        <v>81</v>
      </c>
      <c r="D53" s="53">
        <v>235000</v>
      </c>
      <c r="E53" s="53">
        <v>235000</v>
      </c>
      <c r="F53" s="53">
        <v>235000</v>
      </c>
    </row>
    <row r="54" spans="1:7" s="21" customFormat="1" ht="15.75" x14ac:dyDescent="0.25">
      <c r="A54" s="31">
        <v>41</v>
      </c>
      <c r="B54" s="38" t="s">
        <v>41</v>
      </c>
      <c r="C54" s="33" t="s">
        <v>80</v>
      </c>
      <c r="D54" s="53">
        <v>148000</v>
      </c>
      <c r="E54" s="53">
        <v>148000</v>
      </c>
      <c r="F54" s="53">
        <v>148000</v>
      </c>
    </row>
    <row r="55" spans="1:7" s="21" customFormat="1" ht="31.5" x14ac:dyDescent="0.25">
      <c r="A55" s="31">
        <v>42</v>
      </c>
      <c r="B55" s="38"/>
      <c r="C55" s="33" t="s">
        <v>79</v>
      </c>
      <c r="D55" s="54"/>
      <c r="E55" s="53">
        <v>148000</v>
      </c>
      <c r="F55" s="53">
        <v>148000</v>
      </c>
    </row>
    <row r="56" spans="1:7" s="21" customFormat="1" ht="15.75" x14ac:dyDescent="0.25">
      <c r="A56" s="31">
        <v>43</v>
      </c>
      <c r="B56" s="55" t="s">
        <v>42</v>
      </c>
      <c r="C56" s="33" t="s">
        <v>78</v>
      </c>
      <c r="D56" s="53">
        <v>67000</v>
      </c>
      <c r="E56" s="53">
        <v>67000</v>
      </c>
      <c r="F56" s="53">
        <v>67000</v>
      </c>
    </row>
    <row r="57" spans="1:7" s="21" customFormat="1" ht="15.75" x14ac:dyDescent="0.25">
      <c r="A57" s="31">
        <v>44</v>
      </c>
      <c r="B57" s="37" t="s">
        <v>43</v>
      </c>
      <c r="C57" s="35" t="s">
        <v>77</v>
      </c>
      <c r="D57" s="53">
        <v>44000</v>
      </c>
      <c r="E57" s="54"/>
      <c r="F57" s="53">
        <v>44000</v>
      </c>
    </row>
    <row r="58" spans="1:7" s="21" customFormat="1" ht="31.5" x14ac:dyDescent="0.25">
      <c r="A58" s="31">
        <v>45</v>
      </c>
      <c r="B58" s="40"/>
      <c r="C58" s="33" t="s">
        <v>76</v>
      </c>
      <c r="D58" s="53">
        <v>274000</v>
      </c>
      <c r="E58" s="54"/>
      <c r="F58" s="54"/>
    </row>
    <row r="59" spans="1:7" s="58" customFormat="1" ht="15.75" x14ac:dyDescent="0.25">
      <c r="A59" s="31">
        <v>46</v>
      </c>
      <c r="B59" s="37"/>
      <c r="C59" s="33" t="s">
        <v>75</v>
      </c>
      <c r="D59" s="53">
        <v>78000</v>
      </c>
      <c r="E59" s="56"/>
      <c r="F59" s="56"/>
      <c r="G59" s="57"/>
    </row>
    <row r="60" spans="1:7" s="58" customFormat="1" ht="15.75" x14ac:dyDescent="0.25">
      <c r="A60" s="31">
        <v>47</v>
      </c>
      <c r="B60" s="37"/>
      <c r="C60" s="33" t="s">
        <v>74</v>
      </c>
      <c r="D60" s="53">
        <v>1860000</v>
      </c>
      <c r="E60" s="56"/>
      <c r="F60" s="56"/>
      <c r="G60" s="57"/>
    </row>
    <row r="61" spans="1:7" s="21" customFormat="1" ht="15.75" x14ac:dyDescent="0.25">
      <c r="A61" s="31">
        <v>48</v>
      </c>
      <c r="B61" s="52"/>
      <c r="C61" s="33" t="s">
        <v>44</v>
      </c>
      <c r="D61" s="53">
        <v>425000</v>
      </c>
      <c r="E61" s="54"/>
      <c r="F61" s="54"/>
    </row>
    <row r="62" spans="1:7" s="21" customFormat="1" ht="31.5" x14ac:dyDescent="0.25">
      <c r="A62" s="31">
        <v>49</v>
      </c>
      <c r="B62" s="40"/>
      <c r="C62" s="33" t="s">
        <v>73</v>
      </c>
      <c r="D62" s="59"/>
      <c r="E62" s="53">
        <v>582000</v>
      </c>
      <c r="F62" s="53">
        <v>582000</v>
      </c>
    </row>
    <row r="63" spans="1:7" s="21" customFormat="1" ht="15.75" x14ac:dyDescent="0.25">
      <c r="A63" s="31">
        <v>50</v>
      </c>
      <c r="B63" s="40"/>
      <c r="C63" s="33" t="s">
        <v>72</v>
      </c>
      <c r="D63" s="59"/>
      <c r="E63" s="53">
        <v>218000</v>
      </c>
      <c r="F63" s="53">
        <v>218000</v>
      </c>
    </row>
    <row r="64" spans="1:7" s="21" customFormat="1" ht="15.75" x14ac:dyDescent="0.25">
      <c r="A64" s="31">
        <v>51</v>
      </c>
      <c r="B64" s="40"/>
      <c r="C64" s="33" t="s">
        <v>45</v>
      </c>
      <c r="D64" s="54"/>
      <c r="E64" s="53">
        <v>253000</v>
      </c>
      <c r="F64" s="53">
        <v>253000</v>
      </c>
    </row>
    <row r="65" spans="1:7" s="21" customFormat="1" ht="31.5" x14ac:dyDescent="0.25">
      <c r="A65" s="31">
        <v>52</v>
      </c>
      <c r="B65" s="37"/>
      <c r="C65" s="33" t="s">
        <v>46</v>
      </c>
      <c r="D65" s="54"/>
      <c r="E65" s="53">
        <v>468000</v>
      </c>
      <c r="F65" s="53">
        <v>468000</v>
      </c>
    </row>
    <row r="66" spans="1:7" s="21" customFormat="1" ht="15.75" x14ac:dyDescent="0.25">
      <c r="A66" s="31">
        <v>53</v>
      </c>
      <c r="B66" s="40"/>
      <c r="C66" s="33" t="s">
        <v>12</v>
      </c>
      <c r="D66" s="54"/>
      <c r="E66" s="54"/>
      <c r="F66" s="53">
        <v>168000</v>
      </c>
    </row>
    <row r="67" spans="1:7" s="21" customFormat="1" ht="15.75" x14ac:dyDescent="0.25">
      <c r="A67" s="31">
        <v>54</v>
      </c>
      <c r="B67" s="55"/>
      <c r="C67" s="33" t="s">
        <v>71</v>
      </c>
      <c r="D67" s="54"/>
      <c r="E67" s="53">
        <v>68000</v>
      </c>
      <c r="F67" s="53">
        <v>68000</v>
      </c>
    </row>
    <row r="68" spans="1:7" s="21" customFormat="1" ht="15.75" x14ac:dyDescent="0.25">
      <c r="A68" s="31">
        <v>55</v>
      </c>
      <c r="B68" s="55"/>
      <c r="C68" s="33" t="s">
        <v>70</v>
      </c>
      <c r="D68" s="54"/>
      <c r="E68" s="53">
        <v>572000</v>
      </c>
      <c r="F68" s="53">
        <v>572000</v>
      </c>
    </row>
    <row r="69" spans="1:7" s="58" customFormat="1" ht="31.5" x14ac:dyDescent="0.25">
      <c r="A69" s="31">
        <v>56</v>
      </c>
      <c r="B69" s="55"/>
      <c r="C69" s="60" t="s">
        <v>47</v>
      </c>
      <c r="D69" s="54"/>
      <c r="E69" s="54"/>
      <c r="F69" s="53">
        <v>1040000</v>
      </c>
    </row>
    <row r="70" spans="1:7" s="21" customFormat="1" ht="15.75" x14ac:dyDescent="0.25">
      <c r="A70" s="31">
        <v>57</v>
      </c>
      <c r="B70" s="55"/>
      <c r="C70" s="60" t="s">
        <v>69</v>
      </c>
      <c r="D70" s="54"/>
      <c r="E70" s="53">
        <v>177000</v>
      </c>
      <c r="F70" s="53">
        <v>177000</v>
      </c>
    </row>
    <row r="71" spans="1:7" s="21" customFormat="1" ht="15.75" x14ac:dyDescent="0.25">
      <c r="A71" s="31">
        <v>58</v>
      </c>
      <c r="B71" s="55"/>
      <c r="C71" s="33" t="s">
        <v>11</v>
      </c>
      <c r="D71" s="54"/>
      <c r="E71" s="53">
        <v>208000</v>
      </c>
      <c r="F71" s="54"/>
    </row>
    <row r="72" spans="1:7" s="21" customFormat="1" ht="15.75" customHeight="1" x14ac:dyDescent="0.25">
      <c r="A72" s="45" t="s">
        <v>39</v>
      </c>
      <c r="B72" s="46"/>
      <c r="C72" s="46"/>
      <c r="D72" s="47">
        <f>SUM(D53:D71)</f>
        <v>3131000</v>
      </c>
      <c r="E72" s="47">
        <f t="shared" ref="E72:F72" si="0">SUM(E53:E71)</f>
        <v>3144000</v>
      </c>
      <c r="F72" s="47">
        <f t="shared" si="0"/>
        <v>4188000</v>
      </c>
      <c r="G72" s="2"/>
    </row>
    <row r="73" spans="1:7" s="21" customFormat="1" ht="17.25" x14ac:dyDescent="0.3">
      <c r="A73" s="61"/>
      <c r="B73" s="61"/>
      <c r="C73" s="61"/>
      <c r="D73" s="61"/>
    </row>
    <row r="74" spans="1:7" s="21" customFormat="1" ht="17.25" x14ac:dyDescent="0.3">
      <c r="A74" s="61"/>
      <c r="B74" s="61"/>
      <c r="C74" s="61"/>
      <c r="D74" s="61"/>
    </row>
    <row r="75" spans="1:7" s="21" customFormat="1" ht="17.25" x14ac:dyDescent="0.3">
      <c r="A75" s="61"/>
      <c r="B75" s="61"/>
      <c r="C75" s="61"/>
      <c r="D75" s="61"/>
    </row>
    <row r="76" spans="1:7" s="21" customFormat="1" ht="17.25" x14ac:dyDescent="0.3">
      <c r="A76" s="61"/>
      <c r="B76" s="61"/>
      <c r="C76" s="61"/>
      <c r="D76" s="61"/>
    </row>
    <row r="77" spans="1:7" s="21" customFormat="1" ht="17.25" x14ac:dyDescent="0.3">
      <c r="A77" s="61"/>
      <c r="B77" s="61"/>
      <c r="C77" s="61"/>
      <c r="D77" s="61"/>
    </row>
    <row r="78" spans="1:7" s="21" customFormat="1" ht="17.25" x14ac:dyDescent="0.3">
      <c r="A78" s="61"/>
      <c r="B78" s="61"/>
      <c r="C78" s="61"/>
      <c r="D78" s="61"/>
    </row>
    <row r="79" spans="1:7" s="21" customFormat="1" ht="17.25" x14ac:dyDescent="0.3">
      <c r="A79" s="61"/>
      <c r="B79" s="61"/>
      <c r="C79" s="61"/>
      <c r="D79" s="61"/>
    </row>
    <row r="80" spans="1:7" s="21" customFormat="1" ht="17.25" x14ac:dyDescent="0.3">
      <c r="A80" s="61"/>
      <c r="B80" s="61"/>
      <c r="C80" s="61"/>
      <c r="D80" s="62"/>
    </row>
    <row r="81" spans="1:3" s="14" customFormat="1" ht="15.75" x14ac:dyDescent="0.25">
      <c r="A81" s="63" t="s">
        <v>2</v>
      </c>
      <c r="B81" s="64"/>
      <c r="C81" s="65"/>
    </row>
    <row r="82" spans="1:3" s="69" customFormat="1" ht="15.75" x14ac:dyDescent="0.25">
      <c r="A82" s="66" t="s">
        <v>9</v>
      </c>
      <c r="B82" s="67"/>
      <c r="C82" s="68"/>
    </row>
    <row r="83" spans="1:3" s="69" customFormat="1" ht="18.75" customHeight="1" x14ac:dyDescent="0.25">
      <c r="A83" s="66" t="s">
        <v>10</v>
      </c>
      <c r="B83" s="67"/>
      <c r="C83" s="68"/>
    </row>
    <row r="84" spans="1:3" s="69" customFormat="1" ht="18.75" customHeight="1" x14ac:dyDescent="0.25">
      <c r="A84" s="70" t="s">
        <v>3</v>
      </c>
      <c r="B84" s="71"/>
      <c r="C84" s="72"/>
    </row>
    <row r="85" spans="1:3" s="14" customFormat="1" ht="15.75" x14ac:dyDescent="0.25">
      <c r="A85" s="73"/>
      <c r="B85" s="74"/>
      <c r="C85" s="74"/>
    </row>
    <row r="86" spans="1:3" s="14" customFormat="1" ht="15.75" x14ac:dyDescent="0.25"/>
    <row r="87" spans="1:3" s="14" customFormat="1" ht="15.75" x14ac:dyDescent="0.25"/>
    <row r="88" spans="1:3" s="14" customFormat="1" ht="15.75" x14ac:dyDescent="0.25"/>
    <row r="89" spans="1:3" s="14" customFormat="1" ht="15.75" x14ac:dyDescent="0.25"/>
    <row r="90" spans="1:3" s="14" customFormat="1" ht="15.75" x14ac:dyDescent="0.25"/>
    <row r="91" spans="1:3" s="14" customFormat="1" ht="15.75" x14ac:dyDescent="0.25"/>
    <row r="92" spans="1:3" s="14" customFormat="1" ht="15.75" x14ac:dyDescent="0.25"/>
    <row r="93" spans="1:3" s="14" customFormat="1" ht="15.75" x14ac:dyDescent="0.25"/>
    <row r="94" spans="1:3" s="14" customFormat="1" ht="15.75" x14ac:dyDescent="0.25"/>
    <row r="95" spans="1:3" s="14" customFormat="1" ht="15.75" x14ac:dyDescent="0.25"/>
    <row r="96" spans="1:3" s="14" customFormat="1" ht="15.75" x14ac:dyDescent="0.25"/>
    <row r="97" s="14" customFormat="1" ht="15.75" x14ac:dyDescent="0.25"/>
    <row r="98" s="14" customFormat="1" ht="15.75" x14ac:dyDescent="0.25"/>
    <row r="99" s="14" customFormat="1" ht="15.75" x14ac:dyDescent="0.25"/>
    <row r="100" s="14" customFormat="1" ht="15.75" x14ac:dyDescent="0.25"/>
    <row r="101" s="14" customFormat="1" ht="15.75" x14ac:dyDescent="0.25"/>
    <row r="102" s="14" customFormat="1" ht="15.75" x14ac:dyDescent="0.25"/>
    <row r="103" s="14" customFormat="1" ht="15.75" x14ac:dyDescent="0.25"/>
    <row r="104" s="14" customFormat="1" ht="15.75" x14ac:dyDescent="0.25"/>
    <row r="105" s="14" customFormat="1" ht="15.75" x14ac:dyDescent="0.25"/>
    <row r="106" s="14" customFormat="1" ht="15.75" x14ac:dyDescent="0.25"/>
    <row r="107" s="14" customFormat="1" ht="15.75" x14ac:dyDescent="0.25"/>
    <row r="108" s="14" customFormat="1" ht="15.75" x14ac:dyDescent="0.25"/>
    <row r="109" s="14" customFormat="1" ht="15.75" x14ac:dyDescent="0.25"/>
    <row r="110" s="14" customFormat="1" ht="15.75" x14ac:dyDescent="0.25"/>
    <row r="111" s="14" customFormat="1" ht="15.75" x14ac:dyDescent="0.25"/>
    <row r="112" s="14" customFormat="1" ht="15.75" x14ac:dyDescent="0.25"/>
    <row r="113" s="14" customFormat="1" ht="15.75" x14ac:dyDescent="0.25"/>
    <row r="114" s="14" customFormat="1" ht="15.75" x14ac:dyDescent="0.25"/>
    <row r="115" s="14" customFormat="1" ht="15.75" x14ac:dyDescent="0.25"/>
    <row r="116" s="14" customFormat="1" ht="15.75" x14ac:dyDescent="0.25"/>
    <row r="117" s="14" customFormat="1" ht="15.75" x14ac:dyDescent="0.25"/>
    <row r="118" s="14" customFormat="1" ht="15.75" x14ac:dyDescent="0.25"/>
    <row r="119" s="14" customFormat="1" ht="15.75" x14ac:dyDescent="0.25"/>
  </sheetData>
  <mergeCells count="30">
    <mergeCell ref="A1:F1"/>
    <mergeCell ref="A51:D51"/>
    <mergeCell ref="A50:C50"/>
    <mergeCell ref="A72:C72"/>
    <mergeCell ref="A8:F8"/>
    <mergeCell ref="B7:F7"/>
    <mergeCell ref="B52:C52"/>
    <mergeCell ref="B54:B55"/>
    <mergeCell ref="B37:B38"/>
    <mergeCell ref="B44:B46"/>
    <mergeCell ref="B23:B25"/>
    <mergeCell ref="B26:B28"/>
    <mergeCell ref="B29:B33"/>
    <mergeCell ref="B35:B36"/>
    <mergeCell ref="D11:D16"/>
    <mergeCell ref="E11:E16"/>
    <mergeCell ref="F11:F16"/>
    <mergeCell ref="B20:B21"/>
    <mergeCell ref="A10:D10"/>
    <mergeCell ref="B11:B17"/>
    <mergeCell ref="C11:C16"/>
    <mergeCell ref="A84:C84"/>
    <mergeCell ref="A85:C85"/>
    <mergeCell ref="A81:B81"/>
    <mergeCell ref="A82:C82"/>
    <mergeCell ref="A83:C83"/>
    <mergeCell ref="A6:F6"/>
    <mergeCell ref="A2:F2"/>
    <mergeCell ref="A3:F3"/>
    <mergeCell ref="A4:F4"/>
  </mergeCells>
  <conditionalFormatting sqref="C48">
    <cfRule type="duplicateValues" dxfId="1" priority="1"/>
  </conditionalFormatting>
  <conditionalFormatting sqref="C61:C68 C70:C71 C10:C49 C51:C58">
    <cfRule type="duplicateValues" dxfId="0" priority="2"/>
  </conditionalFormatting>
  <pageMargins left="0.74803149606299213" right="0.31496062992125984" top="0.51181102362204722" bottom="0.31496062992125984" header="0.31496062992125984" footer="0.31496062992125984"/>
  <pageSetup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Thiện Phước</vt:lpstr>
      <vt:lpstr>'Thiện Phước'!Print_Area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Hoàng Giang Nguyễn</cp:lastModifiedBy>
  <cp:lastPrinted>2025-01-08T06:46:08Z</cp:lastPrinted>
  <dcterms:created xsi:type="dcterms:W3CDTF">2023-05-08T01:28:21Z</dcterms:created>
  <dcterms:modified xsi:type="dcterms:W3CDTF">2025-06-04T08:52:22Z</dcterms:modified>
</cp:coreProperties>
</file>