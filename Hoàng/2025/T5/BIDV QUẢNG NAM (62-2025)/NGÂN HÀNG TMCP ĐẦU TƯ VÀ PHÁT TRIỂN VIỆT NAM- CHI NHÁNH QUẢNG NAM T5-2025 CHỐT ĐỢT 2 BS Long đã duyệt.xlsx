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-TN\Hoàng\2025\T5\BIDV QUẢNG NAM (62-2025)\"/>
    </mc:Choice>
  </mc:AlternateContent>
  <xr:revisionPtr revIDLastSave="0" documentId="13_ncr:1_{9377F395-C11C-42AA-AFE5-6EE61486A5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QCN" sheetId="4" r:id="rId1"/>
    <sheet name="Sheet1" sheetId="1" r:id="rId2"/>
    <sheet name="Sheet3" sheetId="3" r:id="rId3"/>
  </sheets>
  <definedNames>
    <definedName name="_xlnm._FilterDatabase" localSheetId="0" hidden="1">KQCN!$A$2:$I$13</definedName>
    <definedName name="_xlnm._FilterDatabase" localSheetId="1" hidden="1">Sheet1!$A$9:$W$21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1" l="1"/>
  <c r="V19" i="1"/>
  <c r="D19" i="1"/>
  <c r="E19" i="1"/>
  <c r="F19" i="1"/>
  <c r="C19" i="1"/>
  <c r="W19" i="1" l="1"/>
  <c r="U19" i="1"/>
  <c r="T19" i="1"/>
  <c r="S19" i="1"/>
  <c r="R19" i="1"/>
  <c r="Q19" i="1"/>
  <c r="P19" i="1"/>
  <c r="N19" i="1"/>
  <c r="M19" i="1"/>
  <c r="L19" i="1"/>
  <c r="K19" i="1"/>
  <c r="J19" i="1"/>
  <c r="I19" i="1"/>
  <c r="H19" i="1"/>
  <c r="G19" i="1"/>
</calcChain>
</file>

<file path=xl/sharedStrings.xml><?xml version="1.0" encoding="utf-8"?>
<sst xmlns="http://schemas.openxmlformats.org/spreadsheetml/2006/main" count="255" uniqueCount="141">
  <si>
    <t>CÔNG TY CỔ PHẦN BỆNH VIỆN THIỆN NHÂN ĐÀ NẴNG</t>
  </si>
  <si>
    <t>TRUNG TÂM CHẨN ĐOÁN Y KHOA KỸ THUẬT CAO THIỆN NHÂN</t>
  </si>
  <si>
    <t>Tel: 02363. 82 84 89</t>
  </si>
  <si>
    <t xml:space="preserve">TỔNG HỢP KẾT QUẢ KHÁM SỨC KHỎE </t>
  </si>
  <si>
    <t>Stt</t>
  </si>
  <si>
    <t>Họ và tên</t>
  </si>
  <si>
    <t>Năm Sinh</t>
  </si>
  <si>
    <t xml:space="preserve">Giới tính </t>
  </si>
  <si>
    <t>Kết Quả CLS và LS</t>
  </si>
  <si>
    <t xml:space="preserve">Đề nghị - Tư vấn </t>
  </si>
  <si>
    <t xml:space="preserve">Xếp loại SK </t>
  </si>
  <si>
    <t>Bác sỹ</t>
  </si>
  <si>
    <t xml:space="preserve">                            TRƯỞNG ĐƠN VỊ QUẢN LÝ SỨC KHỎE DOANH NGHIỆP</t>
  </si>
  <si>
    <t>Khám  tổng quát</t>
  </si>
  <si>
    <t>Nội</t>
  </si>
  <si>
    <t>TMH</t>
  </si>
  <si>
    <t>Mắt</t>
  </si>
  <si>
    <t>Các chỉ số cơ bản</t>
  </si>
  <si>
    <t>Chiều Cao</t>
  </si>
  <si>
    <t>Cân nặng</t>
  </si>
  <si>
    <t>BMI</t>
  </si>
  <si>
    <t xml:space="preserve">Mạch </t>
  </si>
  <si>
    <t>Huyết áp</t>
  </si>
  <si>
    <t>RHM</t>
  </si>
  <si>
    <t xml:space="preserve">Mã NV </t>
  </si>
  <si>
    <t>Địa chỉ: 276 - 278 - 280 Đống Đa, TP. Đà Nẵng.</t>
  </si>
  <si>
    <t>Da liễu</t>
  </si>
  <si>
    <t>Phụ sản</t>
  </si>
  <si>
    <t>Ngoại</t>
  </si>
  <si>
    <t xml:space="preserve">  Năm 2025</t>
  </si>
  <si>
    <t>Đà Nẵng, ngày    tháng    năm 2025</t>
  </si>
  <si>
    <t>NGÂN HÀNG TMCP ĐẦU TƯ VÀ PHÁT TRIỂN VIỆT NAM- CHI NHÁNH QUẢNG NAM</t>
  </si>
  <si>
    <t>NV003</t>
  </si>
  <si>
    <t>NV006</t>
  </si>
  <si>
    <t>NV011</t>
  </si>
  <si>
    <t>NV017</t>
  </si>
  <si>
    <t>NV018</t>
  </si>
  <si>
    <t>NV031</t>
  </si>
  <si>
    <t>NV064</t>
  </si>
  <si>
    <t>NV066</t>
  </si>
  <si>
    <t>NV074</t>
  </si>
  <si>
    <t>Đặng Bảo Trí</t>
  </si>
  <si>
    <t>Võ Nhất Định</t>
  </si>
  <si>
    <t>Trần Thị Hiền Lương</t>
  </si>
  <si>
    <t>Đinh Thái Nguyên</t>
  </si>
  <si>
    <t>Trần Vũ Nguyên</t>
  </si>
  <si>
    <t>Mai Thị Yến My</t>
  </si>
  <si>
    <t>Nguyễn Thị Phương Thảo</t>
  </si>
  <si>
    <t>Huỳnh Thị Hoa</t>
  </si>
  <si>
    <t>Phạm Văn Hương</t>
  </si>
  <si>
    <t>Nam</t>
  </si>
  <si>
    <t>Nữ</t>
  </si>
  <si>
    <t>BGĐ</t>
  </si>
  <si>
    <t>KHDN 1</t>
  </si>
  <si>
    <t>KHCN1</t>
  </si>
  <si>
    <t>KHCN 2</t>
  </si>
  <si>
    <t>PGD 562</t>
  </si>
  <si>
    <t>QLNB</t>
  </si>
  <si>
    <t>Bộ phận</t>
  </si>
  <si>
    <t xml:space="preserve">Mã khách hàng </t>
  </si>
  <si>
    <t xml:space="preserve">BS Vy </t>
  </si>
  <si>
    <t xml:space="preserve">BS Thái </t>
  </si>
  <si>
    <t xml:space="preserve">BS Sỹ </t>
  </si>
  <si>
    <t xml:space="preserve">BS Tấn </t>
  </si>
  <si>
    <t>153</t>
  </si>
  <si>
    <t>53</t>
  </si>
  <si>
    <t>22.6</t>
  </si>
  <si>
    <t>83</t>
  </si>
  <si>
    <t>125/70</t>
  </si>
  <si>
    <t xml:space="preserve">Bình thường </t>
  </si>
  <si>
    <t xml:space="preserve">Viêm mũi dị ứng. </t>
  </si>
  <si>
    <t xml:space="preserve">Para: 2002, Sinh mổ 2 lần </t>
  </si>
  <si>
    <t xml:space="preserve">Sinh mổ 2 lần 
Viêm mũi dị ứng. 
R21, R22 tháo lắp. Chân R15 
Các kết quả xét nghiệm trong giới hạn bình thường </t>
  </si>
  <si>
    <t xml:space="preserve">_ Đã tư vấn 
_ Tránh tiếp xúc với khói bụi, lạnh 
_ Điều trị nha khoa 
_ Kiểm tra sức khỏe định kỳ </t>
  </si>
  <si>
    <t>III</t>
  </si>
  <si>
    <t>0250508004479</t>
  </si>
  <si>
    <t>163</t>
  </si>
  <si>
    <t>77</t>
  </si>
  <si>
    <t>28.9</t>
  </si>
  <si>
    <t>99</t>
  </si>
  <si>
    <t>150/100</t>
  </si>
  <si>
    <t xml:space="preserve">Theo dõi Tăng huyết áp
Dư cân </t>
  </si>
  <si>
    <t xml:space="preserve">Cao răng viêm nướu. </t>
  </si>
  <si>
    <t xml:space="preserve">XN máu: Tăng Gamma GT. Tăng Ferritin 
Nước tiểu: Protein (+), Bilirubin (+), Hồng cầu (+++) 
Theo dõi Tăng huyết áp
Dư cân 
Tật khúc xạ 
Cao răng viêm nướu. 
Các kết quả xét nghiệm khác trong giới hạn bình thường </t>
  </si>
  <si>
    <t xml:space="preserve">_ Đã tư vấn 
_ Hạn chế bia rượu 
_ Hạn chế ăn động vật có vỏ: Nghêu, sò, ốc.. Hạn chế ăn thịt đỏ 
_ Uống nước ngày 1.5-2 lít/ ngày 
_ Nên ăn nhạt. Kiểm tra thêm huyết áp tại nhà 
_ Tập thể dục 
_ Mang kính phù hợp 
_ Điều trị nha khoa 
_ Kiểm tra sức khỏe định kỳ </t>
  </si>
  <si>
    <t>0250508004530</t>
  </si>
  <si>
    <t>173</t>
  </si>
  <si>
    <t>75</t>
  </si>
  <si>
    <t>25</t>
  </si>
  <si>
    <t>76</t>
  </si>
  <si>
    <t>130/70</t>
  </si>
  <si>
    <t xml:space="preserve">Dư cân </t>
  </si>
  <si>
    <t xml:space="preserve">Chân R24, 26. Mất R16. Cao răng viêm nướu. Sức nhai &gt; 81% </t>
  </si>
  <si>
    <t xml:space="preserve">Dư cân 
Tật khúc xạ 
Viêm mũi dị ứng. 
Chân R24, 26. Mất R16. Cao răng viêm nướu. Sức nhai &gt; 81% 
Các kết quả xét nghiệm trong giới hạn bình thường </t>
  </si>
  <si>
    <t xml:space="preserve">_ Đã tư vấn 
_ Tập thể dục 
_ Mang kính phù hợp 
_ Tránh tiếp xúc với khói bụi, lạnh 
_ Điều trị nha khoa 
_ Kiểm tra sức khỏe định kỳ </t>
  </si>
  <si>
    <t>0250508004547</t>
  </si>
  <si>
    <t>160</t>
  </si>
  <si>
    <t>57</t>
  </si>
  <si>
    <t>22.2</t>
  </si>
  <si>
    <t>68</t>
  </si>
  <si>
    <t>110/70</t>
  </si>
  <si>
    <t xml:space="preserve">Cao răng 2 hàm. </t>
  </si>
  <si>
    <t xml:space="preserve">Para :  2002 sinh thường 2 lần </t>
  </si>
  <si>
    <t xml:space="preserve">XN máu: Nhóm máu O, Rh (+) 
Nước tiểu: Bạch cầu (++), Hồng cầu (++) 
CT Scanner ngực: Vài vi nốt đặc phân thuỳ S7-8 phổi trái, khả năng các nốt xơ.
Nội soi dạ dày: Viêm hang vị và phình vị , HP (+) 
Cao răng 2 hàm. 
Các kết quả xét nghiệm khác trong giới hạn bình thường </t>
  </si>
  <si>
    <t xml:space="preserve">_ Đã tư vấn 
_ Uống nhiều nước 
_ Dùng thuốc theo đơn. Hạn chế đồ dầu mỡ, cay nóng, đồ uống có cồn. Ăn đúng bữa, ăn thức ăn mềm. Tránh thức khuya 
_ Lấy cao răng định kỳ mỗi 6 tháng 
_ Kiểm tra sức khỏe định kỳ </t>
  </si>
  <si>
    <t>I</t>
  </si>
  <si>
    <t>0250508004677</t>
  </si>
  <si>
    <t>162</t>
  </si>
  <si>
    <t>47</t>
  </si>
  <si>
    <t>17.9</t>
  </si>
  <si>
    <t>94</t>
  </si>
  <si>
    <t>120/60</t>
  </si>
  <si>
    <t xml:space="preserve">Hai mắt cận thị 
</t>
  </si>
  <si>
    <t xml:space="preserve">Trào ngược họng thanh quản (Laryngopharyngeal reflux – LPR). </t>
  </si>
  <si>
    <t xml:space="preserve">Para : 1001 sinh mổ 1 lần  . Lộ tuyến ctc .   Đa nhân xơ tử cung.
</t>
  </si>
  <si>
    <t xml:space="preserve">XN máu: Tăng nhẹ men gan 
Nước tiểu: Hồng cầu (++) ( đang hành kinh) 
Siêu âm bụng: Đa nhân xơ tử cung 23x25 mm 
Siêu âm giáp: Nang keo 2 thùy tuyến giáp ( Phải: 2 mm. Trái: 3.5 mm) ( TIRADS 1) 
Sinh mổ 1 lần 
Hai mắt cận thị 
Trào ngược họng thanh quản
Cao răng viêm nướu. 
Các kết quả xét nghiệm khác trong giới hạn bình thường </t>
  </si>
  <si>
    <t xml:space="preserve">_ Đã tư vấn 
_ Kiểm tra lại men gan sau 1 tháng 
_ Đa nhân xơ tử cung : Kiểm tra định kỳ 
_ Siêu âm giáp kiểm tra hằng năm 
_ Mang kính phù hợp 
_ Tránh đồ chua cay. Tránh nằm ngay sau ăn 
_ Điều trị nha khoa 
_ Kiểm tra sức khỏe định kỳ </t>
  </si>
  <si>
    <t>0250508005001</t>
  </si>
  <si>
    <t>158</t>
  </si>
  <si>
    <t>45</t>
  </si>
  <si>
    <t>18</t>
  </si>
  <si>
    <t>130/60</t>
  </si>
  <si>
    <t xml:space="preserve">Cắt thùy phải tuyến giáp </t>
  </si>
  <si>
    <t xml:space="preserve">Phẫu thuật tuyến giáp </t>
  </si>
  <si>
    <t xml:space="preserve">Para: 2012, sinh thường 2 lần </t>
  </si>
  <si>
    <t xml:space="preserve">XN máu: Tăng mỡ máu
Siêu âm bụng: Nang thận trái 31x30 mm 
Siêu âm giáp: Nang thùy trái tuyến giáp 3x7 mm  (TIRADS 1) . TD Sẹo mổ cũ thùy phải.
Tật khúc xạ 
Cao răng 2 hàm. 
Các kết quả xét nghiệm khác trong giới hạn bình thường </t>
  </si>
  <si>
    <t xml:space="preserve">_ Đã tư vấn 
_ Tăng ăn rau củ, cá. Giảm đồ chiên rán
_ Siêu âm bụng kiểm tra định kỳ 
_ Siêu âm giáp kiểm tra định kỳ 
_ Mang kính phù hợp 
_ Lấy cao răng định kỳ mỗi 6 tháng 
_ Kiểm tra sức khỏe định kỳ </t>
  </si>
  <si>
    <t>II</t>
  </si>
  <si>
    <t>0250508005025</t>
  </si>
  <si>
    <t xml:space="preserve">Tật khúc xạ </t>
  </si>
  <si>
    <t>R21, 22 tháo lắp. Chân R15.</t>
  </si>
  <si>
    <t xml:space="preserve">Không XL </t>
  </si>
  <si>
    <t>0250508004394</t>
  </si>
  <si>
    <t xml:space="preserve">XN máu: Toxocara canis IgG Dương tính ( 1.004) OD
Các kết quả xét nghiệm khác trong giới hạn bình thường </t>
  </si>
  <si>
    <t xml:space="preserve">XN máu: Tăng HGB. Tăng Acid Uric. Tăng mỡ máu. Tăng CEA, CA 72-4. Giảm Pepsinogen I 
Các kết quả xét nghiệm khác trong giới hạn bình thường </t>
  </si>
  <si>
    <t xml:space="preserve">_ Không khám lâm sàng 
_ Uống nhiều nước 
_ Giảm nội tạng động vật, hải sản, thịt đỏ 
_ Giảm dầu mỡ 
_ Kiểm tra lại CEA, CA 72-4 sau 1 tháng. Nội soi dạ dày đại tràng kiểm tra 
_ Kiểm tra sức khỏe định kỳ </t>
  </si>
  <si>
    <t>0250508004424</t>
  </si>
  <si>
    <t xml:space="preserve">XN máu: Tăng mỡ máu. Giảm K+ 
Các kết quả xét nghiệm khác trong giới hạn bình thường </t>
  </si>
  <si>
    <t xml:space="preserve">_ Không khám lâm sàng 
_ Hạn chế dầu mỡ 
_ Ăn thực phẩm giàu Kali 
_ Kiểm tra sức khỏe định kỳ </t>
  </si>
  <si>
    <t>0250508005100</t>
  </si>
  <si>
    <t xml:space="preserve">_ Không khám lâm sàng 
_ Toxocara canis IgG Dương tính ( 1.004) OD: Khám chuyên khoa truyền nhiễm 
_ Kiểm tra sức khỏe định kỳ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</si>
</sst>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dd\,\ mmmm\ dd\,\ 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VNI-Times"/>
    </font>
    <font>
      <b/>
      <sz val="15"/>
      <color rgb="FF000000"/>
      <name val="Times New Roman"/>
      <family val="1"/>
    </font>
    <font>
      <sz val="15"/>
      <color theme="1"/>
      <name val="Times New Roman"/>
      <family val="1"/>
    </font>
    <font>
      <b/>
      <sz val="15"/>
      <color rgb="FFFF0000"/>
      <name val="Times New Roman"/>
      <family val="1"/>
    </font>
    <font>
      <b/>
      <sz val="15"/>
      <color rgb="FF00B050"/>
      <name val="Times New Roman"/>
      <family val="1"/>
    </font>
    <font>
      <b/>
      <sz val="15"/>
      <name val="Times New Roman"/>
      <family val="1"/>
    </font>
    <font>
      <b/>
      <i/>
      <sz val="15"/>
      <color rgb="FF00B0F0"/>
      <name val="Times New Roman"/>
      <family val="1"/>
    </font>
    <font>
      <sz val="15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sz val="10"/>
      <name val="Arial"/>
      <family val="2"/>
    </font>
    <font>
      <b/>
      <sz val="14"/>
      <color theme="1"/>
      <name val="Times New Roman"/>
      <family val="1"/>
    </font>
    <font>
      <b/>
      <i/>
      <sz val="14"/>
      <name val="Times New Roman"/>
      <family val="1"/>
    </font>
    <font>
      <sz val="10"/>
      <name val=".VnTime"/>
      <family val="2"/>
    </font>
    <font>
      <sz val="13"/>
      <color theme="1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2" fillId="0" borderId="0">
      <alignment vertical="top"/>
    </xf>
    <xf numFmtId="164" fontId="13" fillId="0" borderId="0"/>
    <xf numFmtId="43" fontId="1" fillId="0" borderId="0" applyFont="0" applyFill="0" applyBorder="0" applyAlignment="0" applyProtection="0"/>
    <xf numFmtId="0" fontId="16" fillId="0" borderId="0"/>
    <xf numFmtId="0" fontId="16" fillId="0" borderId="0"/>
    <xf numFmtId="0" fontId="13" fillId="0" borderId="0"/>
    <xf numFmtId="0" fontId="13" fillId="0" borderId="0"/>
  </cellStyleXfs>
  <cellXfs count="52">
    <xf numFmtId="0" fontId="0" fillId="0" borderId="0" xfId="0"/>
    <xf numFmtId="0" fontId="3" fillId="2" borderId="0" xfId="1" applyFont="1" applyFill="1" applyAlignment="1"/>
    <xf numFmtId="0" fontId="4" fillId="0" borderId="0" xfId="0" applyFont="1"/>
    <xf numFmtId="0" fontId="5" fillId="2" borderId="0" xfId="1" applyFont="1" applyFill="1" applyAlignment="1">
      <alignment vertical="center"/>
    </xf>
    <xf numFmtId="0" fontId="7" fillId="0" borderId="0" xfId="0" applyFont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2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1" fillId="2" borderId="0" xfId="0" applyFont="1" applyFill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0" fillId="0" borderId="0" xfId="0" applyFont="1"/>
    <xf numFmtId="0" fontId="14" fillId="0" borderId="0" xfId="0" applyFont="1" applyAlignment="1">
      <alignment horizontal="center"/>
    </xf>
    <xf numFmtId="0" fontId="17" fillId="0" borderId="0" xfId="0" applyFont="1"/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8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top" wrapText="1"/>
    </xf>
    <xf numFmtId="0" fontId="12" fillId="2" borderId="1" xfId="0" quotePrefix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top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8">
    <cellStyle name="Comma 2" xfId="3" xr:uid="{00000000-0005-0000-0000-000000000000}"/>
    <cellStyle name="Normal" xfId="0" builtinId="0"/>
    <cellStyle name="Normal 2" xfId="5" xr:uid="{00000000-0005-0000-0000-000002000000}"/>
    <cellStyle name="Normal 2 33" xfId="2" xr:uid="{00000000-0005-0000-0000-000003000000}"/>
    <cellStyle name="Normal 3" xfId="1" xr:uid="{00000000-0005-0000-0000-000004000000}"/>
    <cellStyle name="Normal 3 3" xfId="6" xr:uid="{00000000-0005-0000-0000-000005000000}"/>
    <cellStyle name="Normal 4" xfId="4" xr:uid="{00000000-0005-0000-0000-000006000000}"/>
    <cellStyle name="Normal 8" xfId="7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4294</xdr:colOff>
      <xdr:row>1</xdr:row>
      <xdr:rowOff>436789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2A4A0B-F6F0-45C6-A81B-7491F4ECF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0" y="73959"/>
          <a:ext cx="4294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1647825</xdr:colOff>
      <xdr:row>0</xdr:row>
      <xdr:rowOff>0</xdr:rowOff>
    </xdr:from>
    <xdr:to>
      <xdr:col>9</xdr:col>
      <xdr:colOff>4082</xdr:colOff>
      <xdr:row>1</xdr:row>
      <xdr:rowOff>137432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447885-C6E6-4D48-8573-B65DFB502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88350" y="0"/>
          <a:ext cx="4082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73959</xdr:rowOff>
    </xdr:from>
    <xdr:to>
      <xdr:col>19</xdr:col>
      <xdr:colOff>4294</xdr:colOff>
      <xdr:row>4</xdr:row>
      <xdr:rowOff>7284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3FDB8B-A127-4530-A834-300DB4845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73959"/>
          <a:ext cx="4294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1647825</xdr:colOff>
      <xdr:row>0</xdr:row>
      <xdr:rowOff>0</xdr:rowOff>
    </xdr:from>
    <xdr:to>
      <xdr:col>21</xdr:col>
      <xdr:colOff>4082</xdr:colOff>
      <xdr:row>2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0"/>
          <a:ext cx="4082" cy="61912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0</xdr:row>
      <xdr:rowOff>0</xdr:rowOff>
    </xdr:from>
    <xdr:to>
      <xdr:col>2</xdr:col>
      <xdr:colOff>657225</xdr:colOff>
      <xdr:row>5</xdr:row>
      <xdr:rowOff>142874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0"/>
          <a:ext cx="1381124" cy="138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6A86-76FB-490C-9082-074DECB09F89}">
  <dimension ref="A1:I23"/>
  <sheetViews>
    <sheetView tabSelected="1" zoomScale="70" zoomScaleNormal="70" workbookViewId="0">
      <selection activeCell="H4" sqref="H4"/>
    </sheetView>
  </sheetViews>
  <sheetFormatPr defaultRowHeight="18.75" x14ac:dyDescent="0.25"/>
  <cols>
    <col min="1" max="1" width="5.28515625" style="12" customWidth="1"/>
    <col min="2" max="2" width="9.28515625" style="12" customWidth="1"/>
    <col min="3" max="3" width="25.42578125" style="13" customWidth="1"/>
    <col min="4" max="5" width="6.5703125" style="12" customWidth="1"/>
    <col min="6" max="6" width="11.28515625" style="22" customWidth="1"/>
    <col min="7" max="7" width="53.5703125" style="14" customWidth="1"/>
    <col min="8" max="8" width="47.28515625" style="15" customWidth="1"/>
    <col min="9" max="9" width="7.5703125" style="12" customWidth="1"/>
  </cols>
  <sheetData>
    <row r="1" spans="1:9" ht="37.5" customHeight="1" x14ac:dyDescent="0.25">
      <c r="A1" s="33" t="s">
        <v>4</v>
      </c>
      <c r="B1" s="33" t="s">
        <v>24</v>
      </c>
      <c r="C1" s="33" t="s">
        <v>5</v>
      </c>
      <c r="D1" s="33" t="s">
        <v>6</v>
      </c>
      <c r="E1" s="33" t="s">
        <v>7</v>
      </c>
      <c r="F1" s="33" t="s">
        <v>58</v>
      </c>
      <c r="G1" s="33" t="s">
        <v>8</v>
      </c>
      <c r="H1" s="33" t="s">
        <v>9</v>
      </c>
      <c r="I1" s="33" t="s">
        <v>10</v>
      </c>
    </row>
    <row r="2" spans="1:9" ht="36" customHeight="1" x14ac:dyDescent="0.25">
      <c r="A2" s="34"/>
      <c r="B2" s="34"/>
      <c r="C2" s="34"/>
      <c r="D2" s="34"/>
      <c r="E2" s="34"/>
      <c r="F2" s="34"/>
      <c r="G2" s="34"/>
      <c r="H2" s="34"/>
      <c r="I2" s="34"/>
    </row>
    <row r="3" spans="1:9" s="18" customFormat="1" ht="80.25" customHeight="1" x14ac:dyDescent="0.25">
      <c r="A3" s="32">
        <v>3</v>
      </c>
      <c r="B3" s="19" t="s">
        <v>32</v>
      </c>
      <c r="C3" s="25" t="s">
        <v>41</v>
      </c>
      <c r="D3" s="19">
        <v>1979</v>
      </c>
      <c r="E3" s="19" t="s">
        <v>50</v>
      </c>
      <c r="F3" s="29" t="s">
        <v>52</v>
      </c>
      <c r="G3" s="8" t="s">
        <v>133</v>
      </c>
      <c r="H3" s="8" t="s">
        <v>140</v>
      </c>
      <c r="I3" s="9" t="s">
        <v>131</v>
      </c>
    </row>
    <row r="4" spans="1:9" s="18" customFormat="1" ht="135.75" customHeight="1" x14ac:dyDescent="0.25">
      <c r="A4" s="32">
        <v>6</v>
      </c>
      <c r="B4" s="19" t="s">
        <v>33</v>
      </c>
      <c r="C4" s="25" t="s">
        <v>42</v>
      </c>
      <c r="D4" s="19">
        <v>1990</v>
      </c>
      <c r="E4" s="19" t="s">
        <v>50</v>
      </c>
      <c r="F4" s="29" t="s">
        <v>53</v>
      </c>
      <c r="G4" s="8" t="s">
        <v>134</v>
      </c>
      <c r="H4" s="8" t="s">
        <v>135</v>
      </c>
      <c r="I4" s="9" t="s">
        <v>131</v>
      </c>
    </row>
    <row r="5" spans="1:9" s="18" customFormat="1" ht="66" x14ac:dyDescent="0.25">
      <c r="A5" s="32">
        <v>11</v>
      </c>
      <c r="B5" s="19" t="s">
        <v>34</v>
      </c>
      <c r="C5" s="25" t="s">
        <v>43</v>
      </c>
      <c r="D5" s="19">
        <v>1982</v>
      </c>
      <c r="E5" s="19" t="s">
        <v>51</v>
      </c>
      <c r="F5" s="29" t="s">
        <v>54</v>
      </c>
      <c r="G5" s="8" t="s">
        <v>72</v>
      </c>
      <c r="H5" s="8" t="s">
        <v>73</v>
      </c>
      <c r="I5" s="9" t="s">
        <v>74</v>
      </c>
    </row>
    <row r="6" spans="1:9" s="18" customFormat="1" ht="165" x14ac:dyDescent="0.25">
      <c r="A6" s="32">
        <v>17</v>
      </c>
      <c r="B6" s="19" t="s">
        <v>35</v>
      </c>
      <c r="C6" s="25" t="s">
        <v>44</v>
      </c>
      <c r="D6" s="19">
        <v>1992</v>
      </c>
      <c r="E6" s="19" t="s">
        <v>50</v>
      </c>
      <c r="F6" s="29" t="s">
        <v>54</v>
      </c>
      <c r="G6" s="8" t="s">
        <v>83</v>
      </c>
      <c r="H6" s="8" t="s">
        <v>84</v>
      </c>
      <c r="I6" s="9" t="s">
        <v>74</v>
      </c>
    </row>
    <row r="7" spans="1:9" s="18" customFormat="1" ht="99" x14ac:dyDescent="0.25">
      <c r="A7" s="32">
        <v>18</v>
      </c>
      <c r="B7" s="19" t="s">
        <v>36</v>
      </c>
      <c r="C7" s="25" t="s">
        <v>45</v>
      </c>
      <c r="D7" s="19">
        <v>1990</v>
      </c>
      <c r="E7" s="19" t="s">
        <v>50</v>
      </c>
      <c r="F7" s="30" t="s">
        <v>55</v>
      </c>
      <c r="G7" s="8" t="s">
        <v>93</v>
      </c>
      <c r="H7" s="8" t="s">
        <v>94</v>
      </c>
      <c r="I7" s="9" t="s">
        <v>74</v>
      </c>
    </row>
    <row r="8" spans="1:9" s="18" customFormat="1" ht="132" x14ac:dyDescent="0.25">
      <c r="A8" s="32">
        <v>31</v>
      </c>
      <c r="B8" s="19" t="s">
        <v>37</v>
      </c>
      <c r="C8" s="25" t="s">
        <v>46</v>
      </c>
      <c r="D8" s="19">
        <v>1989</v>
      </c>
      <c r="E8" s="19" t="s">
        <v>51</v>
      </c>
      <c r="F8" s="30" t="s">
        <v>56</v>
      </c>
      <c r="G8" s="8" t="s">
        <v>103</v>
      </c>
      <c r="H8" s="8" t="s">
        <v>104</v>
      </c>
      <c r="I8" s="9" t="s">
        <v>105</v>
      </c>
    </row>
    <row r="9" spans="1:9" s="18" customFormat="1" ht="181.5" x14ac:dyDescent="0.25">
      <c r="A9" s="32">
        <v>64</v>
      </c>
      <c r="B9" s="19" t="s">
        <v>38</v>
      </c>
      <c r="C9" s="25" t="s">
        <v>47</v>
      </c>
      <c r="D9" s="19">
        <v>1986</v>
      </c>
      <c r="E9" s="19" t="s">
        <v>51</v>
      </c>
      <c r="F9" s="30" t="s">
        <v>57</v>
      </c>
      <c r="G9" s="8" t="s">
        <v>115</v>
      </c>
      <c r="H9" s="8" t="s">
        <v>116</v>
      </c>
      <c r="I9" s="9" t="s">
        <v>74</v>
      </c>
    </row>
    <row r="10" spans="1:9" s="18" customFormat="1" ht="132" x14ac:dyDescent="0.25">
      <c r="A10" s="32">
        <v>66</v>
      </c>
      <c r="B10" s="19" t="s">
        <v>39</v>
      </c>
      <c r="C10" s="25" t="s">
        <v>48</v>
      </c>
      <c r="D10" s="19">
        <v>1978</v>
      </c>
      <c r="E10" s="19" t="s">
        <v>51</v>
      </c>
      <c r="F10" s="29" t="s">
        <v>57</v>
      </c>
      <c r="G10" s="8" t="s">
        <v>125</v>
      </c>
      <c r="H10" s="8" t="s">
        <v>126</v>
      </c>
      <c r="I10" s="9" t="s">
        <v>127</v>
      </c>
    </row>
    <row r="11" spans="1:9" s="18" customFormat="1" ht="97.5" customHeight="1" x14ac:dyDescent="0.25">
      <c r="A11" s="32">
        <v>74</v>
      </c>
      <c r="B11" s="19" t="s">
        <v>40</v>
      </c>
      <c r="C11" s="26" t="s">
        <v>49</v>
      </c>
      <c r="D11" s="19">
        <v>1962</v>
      </c>
      <c r="E11" s="19" t="s">
        <v>50</v>
      </c>
      <c r="F11" s="30"/>
      <c r="G11" s="8" t="s">
        <v>137</v>
      </c>
      <c r="H11" s="8" t="s">
        <v>138</v>
      </c>
      <c r="I11" s="9" t="s">
        <v>131</v>
      </c>
    </row>
    <row r="12" spans="1:9" ht="19.5" x14ac:dyDescent="0.35">
      <c r="G12" s="35"/>
      <c r="H12" s="35"/>
      <c r="I12" s="35"/>
    </row>
    <row r="13" spans="1:9" x14ac:dyDescent="0.3">
      <c r="A13" s="36"/>
      <c r="B13" s="36"/>
      <c r="C13" s="36"/>
      <c r="D13" s="36"/>
      <c r="E13" s="36"/>
      <c r="F13" s="23"/>
      <c r="G13" s="37"/>
      <c r="H13" s="37"/>
      <c r="I13" s="37"/>
    </row>
    <row r="18" spans="1:9" ht="15" x14ac:dyDescent="0.25">
      <c r="A18"/>
      <c r="B18" s="20"/>
      <c r="C18" s="20"/>
      <c r="D18" s="21"/>
      <c r="E18" s="21"/>
      <c r="F18" s="24"/>
      <c r="G18"/>
      <c r="H18"/>
      <c r="I18"/>
    </row>
    <row r="19" spans="1:9" ht="15" x14ac:dyDescent="0.25">
      <c r="A19"/>
      <c r="B19" s="20"/>
      <c r="C19" s="20"/>
      <c r="D19" s="21"/>
      <c r="E19" s="21"/>
      <c r="F19" s="24"/>
      <c r="G19"/>
      <c r="H19"/>
      <c r="I19"/>
    </row>
    <row r="20" spans="1:9" ht="15" x14ac:dyDescent="0.25">
      <c r="A20"/>
      <c r="B20" s="20"/>
      <c r="C20" s="20"/>
      <c r="D20" s="21"/>
      <c r="E20" s="21"/>
      <c r="F20" s="24"/>
      <c r="G20"/>
      <c r="H20"/>
      <c r="I20"/>
    </row>
    <row r="23" spans="1:9" ht="15" x14ac:dyDescent="0.25">
      <c r="A23"/>
      <c r="B23" s="20"/>
      <c r="C23" s="20"/>
      <c r="D23" s="21"/>
      <c r="E23" s="21"/>
      <c r="F23" s="24"/>
      <c r="G23"/>
      <c r="H23"/>
      <c r="I23"/>
    </row>
  </sheetData>
  <mergeCells count="12">
    <mergeCell ref="H1:H2"/>
    <mergeCell ref="I1:I2"/>
    <mergeCell ref="G12:I12"/>
    <mergeCell ref="A13:E13"/>
    <mergeCell ref="G13:I13"/>
    <mergeCell ref="A1:A2"/>
    <mergeCell ref="B1:B2"/>
    <mergeCell ref="C1:C2"/>
    <mergeCell ref="D1:D2"/>
    <mergeCell ref="E1:E2"/>
    <mergeCell ref="F1:F2"/>
    <mergeCell ref="G1:G2"/>
  </mergeCells>
  <conditionalFormatting sqref="C3:C11">
    <cfRule type="duplicateValues" dxfId="1" priority="1" stopIfTrue="1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opLeftCell="I17" zoomScale="70" zoomScaleNormal="70" workbookViewId="0">
      <selection activeCell="I19" sqref="A19:XFD19"/>
    </sheetView>
  </sheetViews>
  <sheetFormatPr defaultRowHeight="18.75" x14ac:dyDescent="0.3"/>
  <cols>
    <col min="1" max="1" width="5.28515625" style="12" customWidth="1"/>
    <col min="2" max="2" width="9.28515625" style="12" customWidth="1"/>
    <col min="3" max="3" width="25.42578125" style="13" customWidth="1"/>
    <col min="4" max="5" width="6.5703125" style="12" customWidth="1"/>
    <col min="6" max="6" width="11.28515625" style="22" customWidth="1"/>
    <col min="7" max="11" width="10.28515625" style="12" customWidth="1"/>
    <col min="12" max="18" width="13.140625" style="12" customWidth="1"/>
    <col min="19" max="19" width="53.5703125" style="14" customWidth="1"/>
    <col min="20" max="20" width="47.28515625" style="15" customWidth="1"/>
    <col min="21" max="21" width="7.5703125" style="12" customWidth="1"/>
    <col min="22" max="22" width="10.7109375" style="7" customWidth="1"/>
    <col min="23" max="23" width="17.7109375" style="7" customWidth="1"/>
  </cols>
  <sheetData>
    <row r="1" spans="1:23" ht="19.5" x14ac:dyDescent="0.3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1"/>
      <c r="W1" s="2"/>
    </row>
    <row r="2" spans="1:23" ht="19.5" x14ac:dyDescent="0.3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1"/>
      <c r="W2" s="2"/>
    </row>
    <row r="3" spans="1:23" ht="19.5" x14ac:dyDescent="0.3">
      <c r="A3" s="47" t="s">
        <v>25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1"/>
      <c r="W3" s="2"/>
    </row>
    <row r="4" spans="1:23" ht="19.5" x14ac:dyDescent="0.3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1"/>
      <c r="W4" s="2"/>
    </row>
    <row r="5" spans="1:23" ht="19.5" x14ac:dyDescent="0.3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3"/>
      <c r="W5" s="2"/>
    </row>
    <row r="6" spans="1:23" ht="19.5" x14ac:dyDescent="0.3">
      <c r="A6" s="46" t="s">
        <v>31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"/>
      <c r="W6" s="4"/>
    </row>
    <row r="7" spans="1:23" ht="20.25" x14ac:dyDescent="0.3">
      <c r="A7" s="51" t="s">
        <v>29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"/>
      <c r="W7" s="5"/>
    </row>
    <row r="8" spans="1:23" ht="37.5" customHeight="1" x14ac:dyDescent="0.25">
      <c r="A8" s="33" t="s">
        <v>4</v>
      </c>
      <c r="B8" s="33" t="s">
        <v>24</v>
      </c>
      <c r="C8" s="33" t="s">
        <v>5</v>
      </c>
      <c r="D8" s="33" t="s">
        <v>6</v>
      </c>
      <c r="E8" s="33" t="s">
        <v>7</v>
      </c>
      <c r="F8" s="33" t="s">
        <v>58</v>
      </c>
      <c r="G8" s="41" t="s">
        <v>17</v>
      </c>
      <c r="H8" s="42"/>
      <c r="I8" s="42"/>
      <c r="J8" s="42"/>
      <c r="K8" s="43"/>
      <c r="L8" s="38" t="s">
        <v>13</v>
      </c>
      <c r="M8" s="39"/>
      <c r="N8" s="39"/>
      <c r="O8" s="39"/>
      <c r="P8" s="39"/>
      <c r="Q8" s="39"/>
      <c r="R8" s="40"/>
      <c r="S8" s="33" t="s">
        <v>8</v>
      </c>
      <c r="T8" s="33" t="s">
        <v>9</v>
      </c>
      <c r="U8" s="33" t="s">
        <v>10</v>
      </c>
      <c r="V8" s="49" t="s">
        <v>11</v>
      </c>
      <c r="W8" s="44" t="s">
        <v>59</v>
      </c>
    </row>
    <row r="9" spans="1:23" ht="36" customHeight="1" x14ac:dyDescent="0.25">
      <c r="A9" s="34"/>
      <c r="B9" s="34"/>
      <c r="C9" s="34"/>
      <c r="D9" s="34"/>
      <c r="E9" s="34"/>
      <c r="F9" s="34"/>
      <c r="G9" s="6" t="s">
        <v>18</v>
      </c>
      <c r="H9" s="6" t="s">
        <v>19</v>
      </c>
      <c r="I9" s="6" t="s">
        <v>20</v>
      </c>
      <c r="J9" s="6" t="s">
        <v>21</v>
      </c>
      <c r="K9" s="6" t="s">
        <v>22</v>
      </c>
      <c r="L9" s="6" t="s">
        <v>14</v>
      </c>
      <c r="M9" s="6" t="s">
        <v>16</v>
      </c>
      <c r="N9" s="6" t="s">
        <v>15</v>
      </c>
      <c r="O9" s="6" t="s">
        <v>23</v>
      </c>
      <c r="P9" s="6" t="s">
        <v>26</v>
      </c>
      <c r="Q9" s="6" t="s">
        <v>28</v>
      </c>
      <c r="R9" s="6" t="s">
        <v>27</v>
      </c>
      <c r="S9" s="34"/>
      <c r="T9" s="34"/>
      <c r="U9" s="34"/>
      <c r="V9" s="50"/>
      <c r="W9" s="45"/>
    </row>
    <row r="10" spans="1:23" s="18" customFormat="1" ht="80.25" customHeight="1" x14ac:dyDescent="0.25">
      <c r="A10" s="32">
        <v>3</v>
      </c>
      <c r="B10" s="19" t="s">
        <v>32</v>
      </c>
      <c r="C10" s="25" t="s">
        <v>41</v>
      </c>
      <c r="D10" s="19">
        <v>1979</v>
      </c>
      <c r="E10" s="19" t="s">
        <v>50</v>
      </c>
      <c r="F10" s="29" t="s">
        <v>52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8" t="s">
        <v>133</v>
      </c>
      <c r="T10" s="8" t="s">
        <v>140</v>
      </c>
      <c r="U10" s="9" t="s">
        <v>131</v>
      </c>
      <c r="V10" s="9" t="s">
        <v>60</v>
      </c>
      <c r="W10" s="31" t="s">
        <v>132</v>
      </c>
    </row>
    <row r="11" spans="1:23" s="18" customFormat="1" ht="135.75" customHeight="1" x14ac:dyDescent="0.25">
      <c r="A11" s="32">
        <v>6</v>
      </c>
      <c r="B11" s="19" t="s">
        <v>33</v>
      </c>
      <c r="C11" s="25" t="s">
        <v>42</v>
      </c>
      <c r="D11" s="19">
        <v>1990</v>
      </c>
      <c r="E11" s="19" t="s">
        <v>50</v>
      </c>
      <c r="F11" s="29" t="s">
        <v>53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8" t="s">
        <v>134</v>
      </c>
      <c r="T11" s="8" t="s">
        <v>135</v>
      </c>
      <c r="U11" s="9" t="s">
        <v>131</v>
      </c>
      <c r="V11" s="10" t="s">
        <v>60</v>
      </c>
      <c r="W11" s="31" t="s">
        <v>136</v>
      </c>
    </row>
    <row r="12" spans="1:23" s="18" customFormat="1" ht="66" x14ac:dyDescent="0.25">
      <c r="A12" s="32">
        <v>11</v>
      </c>
      <c r="B12" s="19" t="s">
        <v>34</v>
      </c>
      <c r="C12" s="25" t="s">
        <v>43</v>
      </c>
      <c r="D12" s="19">
        <v>1982</v>
      </c>
      <c r="E12" s="19" t="s">
        <v>51</v>
      </c>
      <c r="F12" s="29" t="s">
        <v>54</v>
      </c>
      <c r="G12" s="9" t="s">
        <v>64</v>
      </c>
      <c r="H12" s="9" t="s">
        <v>65</v>
      </c>
      <c r="I12" s="9" t="s">
        <v>66</v>
      </c>
      <c r="J12" s="9" t="s">
        <v>67</v>
      </c>
      <c r="K12" s="9" t="s">
        <v>68</v>
      </c>
      <c r="L12" s="9" t="s">
        <v>69</v>
      </c>
      <c r="M12" s="9" t="s">
        <v>69</v>
      </c>
      <c r="N12" s="9" t="s">
        <v>70</v>
      </c>
      <c r="O12" s="9" t="s">
        <v>130</v>
      </c>
      <c r="P12" s="9" t="s">
        <v>69</v>
      </c>
      <c r="Q12" s="9" t="s">
        <v>69</v>
      </c>
      <c r="R12" s="9" t="s">
        <v>71</v>
      </c>
      <c r="S12" s="8" t="s">
        <v>72</v>
      </c>
      <c r="T12" s="8" t="s">
        <v>73</v>
      </c>
      <c r="U12" s="9" t="s">
        <v>74</v>
      </c>
      <c r="V12" s="10" t="s">
        <v>60</v>
      </c>
      <c r="W12" s="9" t="s">
        <v>75</v>
      </c>
    </row>
    <row r="13" spans="1:23" s="18" customFormat="1" ht="165" x14ac:dyDescent="0.25">
      <c r="A13" s="32">
        <v>17</v>
      </c>
      <c r="B13" s="19" t="s">
        <v>35</v>
      </c>
      <c r="C13" s="25" t="s">
        <v>44</v>
      </c>
      <c r="D13" s="19">
        <v>1992</v>
      </c>
      <c r="E13" s="19" t="s">
        <v>50</v>
      </c>
      <c r="F13" s="29" t="s">
        <v>54</v>
      </c>
      <c r="G13" s="9" t="s">
        <v>76</v>
      </c>
      <c r="H13" s="9" t="s">
        <v>77</v>
      </c>
      <c r="I13" s="9" t="s">
        <v>78</v>
      </c>
      <c r="J13" s="9" t="s">
        <v>79</v>
      </c>
      <c r="K13" s="9" t="s">
        <v>80</v>
      </c>
      <c r="L13" s="9" t="s">
        <v>81</v>
      </c>
      <c r="M13" s="9" t="s">
        <v>129</v>
      </c>
      <c r="N13" s="9" t="s">
        <v>69</v>
      </c>
      <c r="O13" s="9" t="s">
        <v>82</v>
      </c>
      <c r="P13" s="9" t="s">
        <v>69</v>
      </c>
      <c r="Q13" s="9" t="s">
        <v>69</v>
      </c>
      <c r="R13" s="9"/>
      <c r="S13" s="8" t="s">
        <v>83</v>
      </c>
      <c r="T13" s="8" t="s">
        <v>84</v>
      </c>
      <c r="U13" s="9" t="s">
        <v>74</v>
      </c>
      <c r="V13" s="10" t="s">
        <v>61</v>
      </c>
      <c r="W13" s="9" t="s">
        <v>85</v>
      </c>
    </row>
    <row r="14" spans="1:23" s="18" customFormat="1" ht="99" x14ac:dyDescent="0.25">
      <c r="A14" s="32">
        <v>18</v>
      </c>
      <c r="B14" s="19" t="s">
        <v>36</v>
      </c>
      <c r="C14" s="25" t="s">
        <v>45</v>
      </c>
      <c r="D14" s="19">
        <v>1990</v>
      </c>
      <c r="E14" s="19" t="s">
        <v>50</v>
      </c>
      <c r="F14" s="30" t="s">
        <v>55</v>
      </c>
      <c r="G14" s="9" t="s">
        <v>86</v>
      </c>
      <c r="H14" s="9" t="s">
        <v>87</v>
      </c>
      <c r="I14" s="9" t="s">
        <v>88</v>
      </c>
      <c r="J14" s="9" t="s">
        <v>89</v>
      </c>
      <c r="K14" s="9" t="s">
        <v>90</v>
      </c>
      <c r="L14" s="9" t="s">
        <v>91</v>
      </c>
      <c r="M14" s="9" t="s">
        <v>129</v>
      </c>
      <c r="N14" s="9" t="s">
        <v>70</v>
      </c>
      <c r="O14" s="9" t="s">
        <v>92</v>
      </c>
      <c r="P14" s="9" t="s">
        <v>69</v>
      </c>
      <c r="Q14" s="9" t="s">
        <v>69</v>
      </c>
      <c r="R14" s="9"/>
      <c r="S14" s="8" t="s">
        <v>93</v>
      </c>
      <c r="T14" s="8" t="s">
        <v>94</v>
      </c>
      <c r="U14" s="9" t="s">
        <v>74</v>
      </c>
      <c r="V14" s="10" t="s">
        <v>62</v>
      </c>
      <c r="W14" s="9" t="s">
        <v>95</v>
      </c>
    </row>
    <row r="15" spans="1:23" s="18" customFormat="1" ht="132" x14ac:dyDescent="0.25">
      <c r="A15" s="32">
        <v>31</v>
      </c>
      <c r="B15" s="19" t="s">
        <v>37</v>
      </c>
      <c r="C15" s="25" t="s">
        <v>46</v>
      </c>
      <c r="D15" s="19">
        <v>1989</v>
      </c>
      <c r="E15" s="19" t="s">
        <v>51</v>
      </c>
      <c r="F15" s="30" t="s">
        <v>56</v>
      </c>
      <c r="G15" s="9" t="s">
        <v>96</v>
      </c>
      <c r="H15" s="9" t="s">
        <v>97</v>
      </c>
      <c r="I15" s="9" t="s">
        <v>98</v>
      </c>
      <c r="J15" s="9" t="s">
        <v>99</v>
      </c>
      <c r="K15" s="9" t="s">
        <v>100</v>
      </c>
      <c r="L15" s="9" t="s">
        <v>69</v>
      </c>
      <c r="M15" s="9" t="s">
        <v>69</v>
      </c>
      <c r="N15" s="9" t="s">
        <v>69</v>
      </c>
      <c r="O15" s="9" t="s">
        <v>101</v>
      </c>
      <c r="P15" s="9" t="s">
        <v>69</v>
      </c>
      <c r="Q15" s="9" t="s">
        <v>69</v>
      </c>
      <c r="R15" s="9" t="s">
        <v>102</v>
      </c>
      <c r="S15" s="8" t="s">
        <v>103</v>
      </c>
      <c r="T15" s="8" t="s">
        <v>104</v>
      </c>
      <c r="U15" s="9" t="s">
        <v>105</v>
      </c>
      <c r="V15" s="10" t="s">
        <v>63</v>
      </c>
      <c r="W15" s="9" t="s">
        <v>106</v>
      </c>
    </row>
    <row r="16" spans="1:23" s="18" customFormat="1" ht="181.5" x14ac:dyDescent="0.25">
      <c r="A16" s="32">
        <v>64</v>
      </c>
      <c r="B16" s="19" t="s">
        <v>38</v>
      </c>
      <c r="C16" s="25" t="s">
        <v>47</v>
      </c>
      <c r="D16" s="19">
        <v>1986</v>
      </c>
      <c r="E16" s="19" t="s">
        <v>51</v>
      </c>
      <c r="F16" s="30" t="s">
        <v>57</v>
      </c>
      <c r="G16" s="9" t="s">
        <v>107</v>
      </c>
      <c r="H16" s="9" t="s">
        <v>108</v>
      </c>
      <c r="I16" s="9" t="s">
        <v>109</v>
      </c>
      <c r="J16" s="9" t="s">
        <v>110</v>
      </c>
      <c r="K16" s="9" t="s">
        <v>111</v>
      </c>
      <c r="L16" s="9" t="s">
        <v>69</v>
      </c>
      <c r="M16" s="9" t="s">
        <v>112</v>
      </c>
      <c r="N16" s="9" t="s">
        <v>113</v>
      </c>
      <c r="O16" s="9" t="s">
        <v>82</v>
      </c>
      <c r="P16" s="9" t="s">
        <v>69</v>
      </c>
      <c r="Q16" s="9" t="s">
        <v>69</v>
      </c>
      <c r="R16" s="9" t="s">
        <v>114</v>
      </c>
      <c r="S16" s="8" t="s">
        <v>115</v>
      </c>
      <c r="T16" s="8" t="s">
        <v>116</v>
      </c>
      <c r="U16" s="9" t="s">
        <v>74</v>
      </c>
      <c r="V16" s="10" t="s">
        <v>60</v>
      </c>
      <c r="W16" s="9" t="s">
        <v>117</v>
      </c>
    </row>
    <row r="17" spans="1:23" s="18" customFormat="1" ht="132" x14ac:dyDescent="0.25">
      <c r="A17" s="32">
        <v>66</v>
      </c>
      <c r="B17" s="19" t="s">
        <v>39</v>
      </c>
      <c r="C17" s="25" t="s">
        <v>48</v>
      </c>
      <c r="D17" s="19">
        <v>1978</v>
      </c>
      <c r="E17" s="19" t="s">
        <v>51</v>
      </c>
      <c r="F17" s="29" t="s">
        <v>57</v>
      </c>
      <c r="G17" s="9" t="s">
        <v>118</v>
      </c>
      <c r="H17" s="9" t="s">
        <v>119</v>
      </c>
      <c r="I17" s="9" t="s">
        <v>120</v>
      </c>
      <c r="J17" s="9" t="s">
        <v>89</v>
      </c>
      <c r="K17" s="9" t="s">
        <v>121</v>
      </c>
      <c r="L17" s="9" t="s">
        <v>122</v>
      </c>
      <c r="M17" s="9" t="s">
        <v>129</v>
      </c>
      <c r="N17" s="9" t="s">
        <v>69</v>
      </c>
      <c r="O17" s="9" t="s">
        <v>101</v>
      </c>
      <c r="P17" s="9" t="s">
        <v>69</v>
      </c>
      <c r="Q17" s="9" t="s">
        <v>123</v>
      </c>
      <c r="R17" s="9" t="s">
        <v>124</v>
      </c>
      <c r="S17" s="8" t="s">
        <v>125</v>
      </c>
      <c r="T17" s="8" t="s">
        <v>126</v>
      </c>
      <c r="U17" s="9" t="s">
        <v>127</v>
      </c>
      <c r="V17" s="10" t="s">
        <v>63</v>
      </c>
      <c r="W17" s="9" t="s">
        <v>128</v>
      </c>
    </row>
    <row r="18" spans="1:23" s="18" customFormat="1" ht="97.5" customHeight="1" x14ac:dyDescent="0.25">
      <c r="A18" s="32">
        <v>74</v>
      </c>
      <c r="B18" s="19" t="s">
        <v>40</v>
      </c>
      <c r="C18" s="26" t="s">
        <v>49</v>
      </c>
      <c r="D18" s="19">
        <v>1962</v>
      </c>
      <c r="E18" s="19" t="s">
        <v>50</v>
      </c>
      <c r="F18" s="30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8" t="s">
        <v>137</v>
      </c>
      <c r="T18" s="8" t="s">
        <v>138</v>
      </c>
      <c r="U18" s="9" t="s">
        <v>131</v>
      </c>
      <c r="V18" s="10" t="s">
        <v>60</v>
      </c>
      <c r="W18" s="31" t="s">
        <v>139</v>
      </c>
    </row>
    <row r="19" spans="1:23" s="28" customFormat="1" ht="15.75" hidden="1" customHeight="1" x14ac:dyDescent="0.25">
      <c r="A19" s="27"/>
      <c r="B19" s="27"/>
      <c r="C19" s="27">
        <f>COUNTA(C10:C18)</f>
        <v>9</v>
      </c>
      <c r="D19" s="27">
        <f t="shared" ref="D19:W19" si="0">COUNTA(D10:D18)</f>
        <v>9</v>
      </c>
      <c r="E19" s="27">
        <f t="shared" si="0"/>
        <v>9</v>
      </c>
      <c r="F19" s="27">
        <f t="shared" si="0"/>
        <v>8</v>
      </c>
      <c r="G19" s="27">
        <f t="shared" si="0"/>
        <v>6</v>
      </c>
      <c r="H19" s="27">
        <f t="shared" si="0"/>
        <v>6</v>
      </c>
      <c r="I19" s="27">
        <f t="shared" si="0"/>
        <v>6</v>
      </c>
      <c r="J19" s="27">
        <f t="shared" si="0"/>
        <v>6</v>
      </c>
      <c r="K19" s="27">
        <f t="shared" si="0"/>
        <v>6</v>
      </c>
      <c r="L19" s="27">
        <f t="shared" si="0"/>
        <v>6</v>
      </c>
      <c r="M19" s="27">
        <f t="shared" si="0"/>
        <v>6</v>
      </c>
      <c r="N19" s="27">
        <f t="shared" si="0"/>
        <v>6</v>
      </c>
      <c r="O19" s="27">
        <f t="shared" si="0"/>
        <v>6</v>
      </c>
      <c r="P19" s="27">
        <f t="shared" si="0"/>
        <v>6</v>
      </c>
      <c r="Q19" s="27">
        <f t="shared" si="0"/>
        <v>6</v>
      </c>
      <c r="R19" s="27">
        <f t="shared" si="0"/>
        <v>4</v>
      </c>
      <c r="S19" s="27">
        <f t="shared" si="0"/>
        <v>9</v>
      </c>
      <c r="T19" s="27">
        <f t="shared" si="0"/>
        <v>9</v>
      </c>
      <c r="U19" s="27">
        <f t="shared" si="0"/>
        <v>9</v>
      </c>
      <c r="V19" s="27">
        <f t="shared" si="0"/>
        <v>9</v>
      </c>
      <c r="W19" s="27">
        <f t="shared" si="0"/>
        <v>9</v>
      </c>
    </row>
    <row r="20" spans="1:23" ht="19.5" x14ac:dyDescent="0.35">
      <c r="O20" s="35" t="s">
        <v>30</v>
      </c>
      <c r="P20" s="35"/>
      <c r="Q20" s="35"/>
      <c r="R20" s="35"/>
      <c r="S20" s="35"/>
      <c r="T20" s="35"/>
      <c r="U20" s="35"/>
      <c r="V20" s="11"/>
      <c r="W20" s="11"/>
    </row>
    <row r="21" spans="1:23" x14ac:dyDescent="0.3">
      <c r="A21" s="36"/>
      <c r="B21" s="36"/>
      <c r="C21" s="36"/>
      <c r="D21" s="36"/>
      <c r="E21" s="36"/>
      <c r="F21" s="23"/>
      <c r="G21" s="17"/>
      <c r="H21" s="17"/>
      <c r="I21" s="17"/>
      <c r="J21" s="17"/>
      <c r="K21" s="17"/>
      <c r="L21" s="17"/>
      <c r="M21" s="17"/>
      <c r="N21" s="17"/>
      <c r="O21" s="37" t="s">
        <v>12</v>
      </c>
      <c r="P21" s="37"/>
      <c r="Q21" s="37"/>
      <c r="R21" s="37"/>
      <c r="S21" s="37"/>
      <c r="T21" s="37"/>
      <c r="U21" s="37"/>
      <c r="V21" s="11"/>
      <c r="W21" s="11"/>
    </row>
    <row r="22" spans="1:23" x14ac:dyDescent="0.3">
      <c r="V22" s="11"/>
      <c r="W22" s="11"/>
    </row>
    <row r="23" spans="1:23" x14ac:dyDescent="0.3">
      <c r="V23" s="11"/>
      <c r="W23" s="11"/>
    </row>
    <row r="24" spans="1:23" x14ac:dyDescent="0.3">
      <c r="V24" s="11"/>
      <c r="W24" s="11"/>
    </row>
    <row r="25" spans="1:23" x14ac:dyDescent="0.3">
      <c r="V25" s="11"/>
      <c r="W25" s="11"/>
    </row>
    <row r="26" spans="1:23" x14ac:dyDescent="0.3">
      <c r="A26"/>
      <c r="B26" s="20"/>
      <c r="C26" s="20"/>
      <c r="D26" s="21"/>
      <c r="E26" s="21"/>
      <c r="F26" s="24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 s="11"/>
      <c r="W26" s="11"/>
    </row>
    <row r="27" spans="1:23" x14ac:dyDescent="0.3">
      <c r="A27"/>
      <c r="B27" s="20"/>
      <c r="C27" s="20"/>
      <c r="D27" s="21"/>
      <c r="E27" s="21"/>
      <c r="F27" s="24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s="11"/>
      <c r="W27" s="11"/>
    </row>
    <row r="28" spans="1:23" x14ac:dyDescent="0.3">
      <c r="A28"/>
      <c r="B28" s="20"/>
      <c r="C28" s="20"/>
      <c r="D28" s="21"/>
      <c r="E28" s="21"/>
      <c r="F28" s="24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s="11"/>
      <c r="W28" s="11"/>
    </row>
    <row r="31" spans="1:23" x14ac:dyDescent="0.3">
      <c r="A31"/>
      <c r="B31" s="20"/>
      <c r="C31" s="20"/>
      <c r="D31" s="21"/>
      <c r="E31" s="21"/>
      <c r="F31" s="24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 s="16"/>
      <c r="W31" s="16"/>
    </row>
  </sheetData>
  <mergeCells count="23">
    <mergeCell ref="W8:W9"/>
    <mergeCell ref="A6:U6"/>
    <mergeCell ref="A1:U1"/>
    <mergeCell ref="A2:U2"/>
    <mergeCell ref="A3:U3"/>
    <mergeCell ref="A4:U4"/>
    <mergeCell ref="A5:U5"/>
    <mergeCell ref="V8:V9"/>
    <mergeCell ref="A7:U7"/>
    <mergeCell ref="S8:S9"/>
    <mergeCell ref="T8:T9"/>
    <mergeCell ref="U8:U9"/>
    <mergeCell ref="O21:U21"/>
    <mergeCell ref="O20:U20"/>
    <mergeCell ref="F8:F9"/>
    <mergeCell ref="L8:R8"/>
    <mergeCell ref="B8:B9"/>
    <mergeCell ref="A21:E21"/>
    <mergeCell ref="G8:K8"/>
    <mergeCell ref="A8:A9"/>
    <mergeCell ref="C8:C9"/>
    <mergeCell ref="D8:D9"/>
    <mergeCell ref="E8:E9"/>
  </mergeCells>
  <conditionalFormatting sqref="C10:C18">
    <cfRule type="duplicateValues" dxfId="0" priority="3" stopIfTrue="1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KQCN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Hoàng Giang Nguyễn</cp:lastModifiedBy>
  <dcterms:created xsi:type="dcterms:W3CDTF">2018-05-14T02:52:35Z</dcterms:created>
  <dcterms:modified xsi:type="dcterms:W3CDTF">2025-06-18T09:18:00Z</dcterms:modified>
</cp:coreProperties>
</file>