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5\BIDV QUẢNG NAM (62-2025)\"/>
    </mc:Choice>
  </mc:AlternateContent>
  <xr:revisionPtr revIDLastSave="0" documentId="13_ncr:1_{F685AC25-1AE8-4798-BA40-80E411EF2B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ổng hợp" sheetId="1" r:id="rId1"/>
  </sheets>
  <externalReferences>
    <externalReference r:id="rId2"/>
  </externalReferences>
  <definedNames>
    <definedName name="_xlnm._FilterDatabase" localSheetId="0" hidden="1">'Tổng hợp'!$A$2:$M$2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F41" i="1"/>
  <c r="H4" i="1" l="1"/>
  <c r="I4" i="1" s="1"/>
  <c r="M4" i="1" s="1"/>
  <c r="H5" i="1"/>
  <c r="I5" i="1" s="1"/>
  <c r="M5" i="1" s="1"/>
  <c r="H6" i="1"/>
  <c r="I6" i="1" s="1"/>
  <c r="M6" i="1" s="1"/>
  <c r="H7" i="1"/>
  <c r="I7" i="1" s="1"/>
  <c r="M7" i="1" s="1"/>
  <c r="H8" i="1"/>
  <c r="I8" i="1" s="1"/>
  <c r="M8" i="1" s="1"/>
  <c r="H9" i="1"/>
  <c r="I9" i="1" s="1"/>
  <c r="M9" i="1" s="1"/>
  <c r="H10" i="1"/>
  <c r="I10" i="1" s="1"/>
  <c r="M10" i="1" s="1"/>
  <c r="H11" i="1"/>
  <c r="I11" i="1" s="1"/>
  <c r="M11" i="1" s="1"/>
  <c r="H12" i="1"/>
  <c r="I12" i="1" s="1"/>
  <c r="M12" i="1" s="1"/>
  <c r="H13" i="1"/>
  <c r="I13" i="1" s="1"/>
  <c r="M13" i="1" s="1"/>
  <c r="H14" i="1"/>
  <c r="I14" i="1" s="1"/>
  <c r="M14" i="1" s="1"/>
  <c r="H15" i="1"/>
  <c r="I15" i="1" s="1"/>
  <c r="M15" i="1" s="1"/>
  <c r="H16" i="1"/>
  <c r="I16" i="1" s="1"/>
  <c r="M16" i="1" s="1"/>
  <c r="H17" i="1"/>
  <c r="I17" i="1" s="1"/>
  <c r="M17" i="1" s="1"/>
  <c r="H18" i="1"/>
  <c r="I18" i="1" s="1"/>
  <c r="M18" i="1" s="1"/>
  <c r="H19" i="1"/>
  <c r="I19" i="1" s="1"/>
  <c r="M19" i="1" s="1"/>
  <c r="H20" i="1"/>
  <c r="I20" i="1" s="1"/>
  <c r="M20" i="1" s="1"/>
  <c r="H21" i="1"/>
  <c r="I21" i="1" s="1"/>
  <c r="M21" i="1" s="1"/>
  <c r="H22" i="1"/>
  <c r="I22" i="1" s="1"/>
  <c r="M22" i="1" s="1"/>
  <c r="H23" i="1"/>
  <c r="I23" i="1" s="1"/>
  <c r="M23" i="1" s="1"/>
  <c r="H24" i="1"/>
  <c r="I24" i="1" s="1"/>
  <c r="M24" i="1" s="1"/>
  <c r="H25" i="1"/>
  <c r="I25" i="1" s="1"/>
  <c r="M25" i="1" s="1"/>
  <c r="H26" i="1"/>
  <c r="I26" i="1" s="1"/>
  <c r="M26" i="1" s="1"/>
  <c r="H27" i="1"/>
  <c r="I27" i="1" s="1"/>
  <c r="M27" i="1" s="1"/>
  <c r="H28" i="1"/>
  <c r="I28" i="1" s="1"/>
  <c r="M28" i="1" s="1"/>
  <c r="H29" i="1"/>
  <c r="I29" i="1" s="1"/>
  <c r="M29" i="1" s="1"/>
  <c r="H30" i="1"/>
  <c r="I30" i="1" s="1"/>
  <c r="M30" i="1" s="1"/>
  <c r="H31" i="1"/>
  <c r="I31" i="1" s="1"/>
  <c r="M31" i="1" s="1"/>
  <c r="H32" i="1"/>
  <c r="I32" i="1" s="1"/>
  <c r="M32" i="1" s="1"/>
  <c r="H33" i="1"/>
  <c r="I33" i="1" s="1"/>
  <c r="M33" i="1" s="1"/>
  <c r="H34" i="1"/>
  <c r="I34" i="1" s="1"/>
  <c r="M34" i="1" s="1"/>
  <c r="H35" i="1"/>
  <c r="I35" i="1" s="1"/>
  <c r="M35" i="1" s="1"/>
  <c r="H36" i="1"/>
  <c r="I36" i="1" s="1"/>
  <c r="M36" i="1" s="1"/>
  <c r="H37" i="1"/>
  <c r="I37" i="1" s="1"/>
  <c r="M37" i="1" s="1"/>
  <c r="H38" i="1"/>
  <c r="I38" i="1" s="1"/>
  <c r="M38" i="1" s="1"/>
  <c r="H39" i="1"/>
  <c r="I39" i="1" s="1"/>
  <c r="M39" i="1" s="1"/>
  <c r="H40" i="1"/>
  <c r="I40" i="1" s="1"/>
  <c r="M40" i="1" s="1"/>
  <c r="H41" i="1"/>
  <c r="I41" i="1" s="1"/>
  <c r="M41" i="1" s="1"/>
  <c r="H42" i="1"/>
  <c r="I42" i="1" s="1"/>
  <c r="M42" i="1" s="1"/>
  <c r="H43" i="1"/>
  <c r="I43" i="1" s="1"/>
  <c r="M43" i="1" s="1"/>
  <c r="H44" i="1"/>
  <c r="I44" i="1" s="1"/>
  <c r="M44" i="1" s="1"/>
  <c r="H45" i="1"/>
  <c r="I45" i="1" s="1"/>
  <c r="M45" i="1" s="1"/>
  <c r="H46" i="1"/>
  <c r="I46" i="1" s="1"/>
  <c r="M46" i="1" s="1"/>
  <c r="H47" i="1"/>
  <c r="I47" i="1" s="1"/>
  <c r="M47" i="1" s="1"/>
  <c r="H48" i="1"/>
  <c r="I48" i="1" s="1"/>
  <c r="M48" i="1" s="1"/>
  <c r="H49" i="1"/>
  <c r="I49" i="1" s="1"/>
  <c r="M49" i="1" s="1"/>
  <c r="H50" i="1"/>
  <c r="I50" i="1" s="1"/>
  <c r="M50" i="1" s="1"/>
  <c r="H51" i="1"/>
  <c r="I51" i="1" s="1"/>
  <c r="M51" i="1" s="1"/>
  <c r="H52" i="1"/>
  <c r="I52" i="1" s="1"/>
  <c r="M52" i="1" s="1"/>
  <c r="H53" i="1"/>
  <c r="I53" i="1" s="1"/>
  <c r="M53" i="1" s="1"/>
  <c r="H54" i="1"/>
  <c r="I54" i="1" s="1"/>
  <c r="M54" i="1" s="1"/>
  <c r="H55" i="1"/>
  <c r="I55" i="1" s="1"/>
  <c r="M55" i="1" s="1"/>
  <c r="H56" i="1"/>
  <c r="I56" i="1" s="1"/>
  <c r="M56" i="1" s="1"/>
  <c r="H57" i="1"/>
  <c r="I57" i="1" s="1"/>
  <c r="M57" i="1" s="1"/>
  <c r="H58" i="1"/>
  <c r="I58" i="1" s="1"/>
  <c r="M58" i="1" s="1"/>
  <c r="H59" i="1"/>
  <c r="I59" i="1" s="1"/>
  <c r="M59" i="1" s="1"/>
  <c r="H60" i="1"/>
  <c r="I60" i="1" s="1"/>
  <c r="M60" i="1" s="1"/>
  <c r="H61" i="1"/>
  <c r="I61" i="1" s="1"/>
  <c r="M61" i="1" s="1"/>
  <c r="H62" i="1"/>
  <c r="I62" i="1" s="1"/>
  <c r="M62" i="1" s="1"/>
  <c r="H63" i="1"/>
  <c r="I63" i="1" s="1"/>
  <c r="M63" i="1" s="1"/>
  <c r="H64" i="1"/>
  <c r="I64" i="1" s="1"/>
  <c r="M64" i="1" s="1"/>
  <c r="H65" i="1"/>
  <c r="I65" i="1" s="1"/>
  <c r="M65" i="1" s="1"/>
  <c r="H66" i="1"/>
  <c r="I66" i="1" s="1"/>
  <c r="M66" i="1" s="1"/>
  <c r="H67" i="1"/>
  <c r="I67" i="1" s="1"/>
  <c r="M67" i="1" s="1"/>
  <c r="H68" i="1"/>
  <c r="I68" i="1" s="1"/>
  <c r="M68" i="1" s="1"/>
  <c r="H69" i="1"/>
  <c r="I69" i="1" s="1"/>
  <c r="M69" i="1" s="1"/>
  <c r="H70" i="1"/>
  <c r="I70" i="1" s="1"/>
  <c r="M70" i="1" s="1"/>
  <c r="H71" i="1"/>
  <c r="I71" i="1" s="1"/>
  <c r="M71" i="1" s="1"/>
  <c r="H72" i="1"/>
  <c r="I72" i="1" s="1"/>
  <c r="M72" i="1" s="1"/>
  <c r="H73" i="1"/>
  <c r="I73" i="1" s="1"/>
  <c r="M73" i="1" s="1"/>
  <c r="H74" i="1"/>
  <c r="I74" i="1" s="1"/>
  <c r="M74" i="1" s="1"/>
  <c r="H75" i="1"/>
  <c r="I75" i="1" s="1"/>
  <c r="M75" i="1" s="1"/>
  <c r="H76" i="1"/>
  <c r="I76" i="1" s="1"/>
  <c r="M76" i="1" s="1"/>
  <c r="H77" i="1"/>
  <c r="I77" i="1" s="1"/>
  <c r="M77" i="1" s="1"/>
  <c r="H78" i="1"/>
  <c r="I78" i="1" s="1"/>
  <c r="M78" i="1" s="1"/>
  <c r="H79" i="1"/>
  <c r="I79" i="1" s="1"/>
  <c r="M79" i="1" s="1"/>
  <c r="H80" i="1"/>
  <c r="I80" i="1" s="1"/>
  <c r="M80" i="1" s="1"/>
  <c r="H81" i="1"/>
  <c r="I81" i="1" s="1"/>
  <c r="M81" i="1" s="1"/>
  <c r="H82" i="1"/>
  <c r="I82" i="1" s="1"/>
  <c r="M82" i="1" s="1"/>
  <c r="H3" i="1"/>
  <c r="I3" i="1" s="1"/>
  <c r="M3" i="1" s="1"/>
  <c r="I8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N1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Bỏ kích tiền khám phụ khoa 165k ra
</t>
        </r>
      </text>
    </comment>
    <comment ref="N4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Chố khám phụ khoa 165k e gỡ ở chương trình ra nhé, ko chi phí vẫn tính chỗ làm thêm r.
</t>
        </r>
      </text>
    </comment>
    <comment ref="N6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Kích bỏ khám phụ khoa 165k ra
</t>
        </r>
      </text>
    </comment>
    <comment ref="N6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Ko khám
</t>
        </r>
      </text>
    </comment>
  </commentList>
</comments>
</file>

<file path=xl/sharedStrings.xml><?xml version="1.0" encoding="utf-8"?>
<sst xmlns="http://schemas.openxmlformats.org/spreadsheetml/2006/main" count="350" uniqueCount="224">
  <si>
    <t>Thông tin khách hàng</t>
  </si>
  <si>
    <t>Phát sinh</t>
  </si>
  <si>
    <t>Thực hiện</t>
  </si>
  <si>
    <t>Thanh toán</t>
  </si>
  <si>
    <t>STT</t>
  </si>
  <si>
    <t>Họ và tên</t>
  </si>
  <si>
    <t>Ngày sinh</t>
  </si>
  <si>
    <t>Giới tính</t>
  </si>
  <si>
    <t>Mã nhân viên</t>
  </si>
  <si>
    <t>Công ty thanh toán</t>
  </si>
  <si>
    <t>Khách tự thanh toán</t>
  </si>
  <si>
    <t>Tổng cộng</t>
  </si>
  <si>
    <t>Đã thực hiện</t>
  </si>
  <si>
    <t>Chưa thực hiện</t>
  </si>
  <si>
    <t>Đã thanh toán</t>
  </si>
  <si>
    <t>Chưa thanh toán</t>
  </si>
  <si>
    <t>Thực thu</t>
  </si>
  <si>
    <t>Nguyễn Thị Thu Tâm</t>
  </si>
  <si>
    <t>1972</t>
  </si>
  <si>
    <t>Nữ</t>
  </si>
  <si>
    <t>NV001</t>
  </si>
  <si>
    <t>Phạm Minh Tri</t>
  </si>
  <si>
    <t>1983</t>
  </si>
  <si>
    <t>Nam</t>
  </si>
  <si>
    <t>NV002</t>
  </si>
  <si>
    <t>Đặng Bảo Trí</t>
  </si>
  <si>
    <t>1979</t>
  </si>
  <si>
    <t>NV003</t>
  </si>
  <si>
    <t>Nguyễn Bùi Anh Vũ</t>
  </si>
  <si>
    <t>NV004</t>
  </si>
  <si>
    <t>Phùng Thị Thu Thảo</t>
  </si>
  <si>
    <t>1987</t>
  </si>
  <si>
    <t>NV005</t>
  </si>
  <si>
    <t>Võ Nhất Định</t>
  </si>
  <si>
    <t>1990</t>
  </si>
  <si>
    <t>NV006</t>
  </si>
  <si>
    <t>Nguyễn Thị Thanh Hằng</t>
  </si>
  <si>
    <t>NV007</t>
  </si>
  <si>
    <t>Nguyễn Thị Trúc Mai</t>
  </si>
  <si>
    <t>1985</t>
  </si>
  <si>
    <t>NV008</t>
  </si>
  <si>
    <t>Võ Thị Ánh Tuyết</t>
  </si>
  <si>
    <t>NV009</t>
  </si>
  <si>
    <t>Phạm Thị Pha Lê</t>
  </si>
  <si>
    <t>1997</t>
  </si>
  <si>
    <t>NV010</t>
  </si>
  <si>
    <t>Trần Thị Hiền Lương</t>
  </si>
  <si>
    <t>1982</t>
  </si>
  <si>
    <t>NV011</t>
  </si>
  <si>
    <t>Nguyễn Thị Mỹ Diễm</t>
  </si>
  <si>
    <t>1989</t>
  </si>
  <si>
    <t>NV012</t>
  </si>
  <si>
    <t>Nguyễn Quỳnh Giang</t>
  </si>
  <si>
    <t>NV013</t>
  </si>
  <si>
    <t>Hồ Xuân Khôi</t>
  </si>
  <si>
    <t>1992</t>
  </si>
  <si>
    <t>NV014</t>
  </si>
  <si>
    <t>Nguyễn Thị Phương Uyên</t>
  </si>
  <si>
    <t>1986</t>
  </si>
  <si>
    <t>NV015</t>
  </si>
  <si>
    <t>Trần Bích Anh</t>
  </si>
  <si>
    <t>2000</t>
  </si>
  <si>
    <t>NV016</t>
  </si>
  <si>
    <t>Đinh Thái Nguyên</t>
  </si>
  <si>
    <t>NV017</t>
  </si>
  <si>
    <t>Trần Vũ Nguyên</t>
  </si>
  <si>
    <t>NV018</t>
  </si>
  <si>
    <t>Trần Đức Phú</t>
  </si>
  <si>
    <t>NV019</t>
  </si>
  <si>
    <t>Huỳnh Thị Thu Hương</t>
  </si>
  <si>
    <t>NV020</t>
  </si>
  <si>
    <t>Trần Văn Vinh</t>
  </si>
  <si>
    <t>NV021</t>
  </si>
  <si>
    <t>Thiều Đức Khoan</t>
  </si>
  <si>
    <t>1981</t>
  </si>
  <si>
    <t>NV022</t>
  </si>
  <si>
    <t>Nguyễn Thị Diệu Thảo</t>
  </si>
  <si>
    <t>NV023</t>
  </si>
  <si>
    <t>Nguyễn Thị Ngọc Tuyền</t>
  </si>
  <si>
    <t>1991</t>
  </si>
  <si>
    <t>NV027</t>
  </si>
  <si>
    <t>Phạm Thị Kim Liên</t>
  </si>
  <si>
    <t>NV029</t>
  </si>
  <si>
    <t>Mai Thị Yến My</t>
  </si>
  <si>
    <t>NV031</t>
  </si>
  <si>
    <t>Ngô Lin Đan</t>
  </si>
  <si>
    <t>1999</t>
  </si>
  <si>
    <t>NV034</t>
  </si>
  <si>
    <t>Huỳnh Minh Khương</t>
  </si>
  <si>
    <t>1978</t>
  </si>
  <si>
    <t>NV035</t>
  </si>
  <si>
    <t>Nguyễn Thị Thái Hiền</t>
  </si>
  <si>
    <t>NV036</t>
  </si>
  <si>
    <t>Hoàng Phương Thảo</t>
  </si>
  <si>
    <t>1994</t>
  </si>
  <si>
    <t>NV037</t>
  </si>
  <si>
    <t>Huỳnh Thế Thuận Hiếu</t>
  </si>
  <si>
    <t>NV038</t>
  </si>
  <si>
    <t>Huỳnh Thị Tố Trinh</t>
  </si>
  <si>
    <t>1996</t>
  </si>
  <si>
    <t>NV039</t>
  </si>
  <si>
    <t>Bùi Duy Công</t>
  </si>
  <si>
    <t>NV040</t>
  </si>
  <si>
    <t>Hoàng Thị Mỹ Diệu</t>
  </si>
  <si>
    <t>NV041</t>
  </si>
  <si>
    <t>Huỳnh Nhứt Nam</t>
  </si>
  <si>
    <t>1993</t>
  </si>
  <si>
    <t>NV042</t>
  </si>
  <si>
    <t>Nguyễn Thanh Nam</t>
  </si>
  <si>
    <t>NV043</t>
  </si>
  <si>
    <t>Đào Đoàn Hoài Thương</t>
  </si>
  <si>
    <t>NV044</t>
  </si>
  <si>
    <t>Ngô Thị Lan</t>
  </si>
  <si>
    <t>NV045</t>
  </si>
  <si>
    <t>Phan Thị Quý</t>
  </si>
  <si>
    <t>NV046</t>
  </si>
  <si>
    <t>Phạm Thị Hồng Lợi</t>
  </si>
  <si>
    <t>NV047</t>
  </si>
  <si>
    <t>Trần Lê Thuỳ Trang</t>
  </si>
  <si>
    <t>NV048</t>
  </si>
  <si>
    <t>Hoàng Đặng Sơn</t>
  </si>
  <si>
    <t>NV049</t>
  </si>
  <si>
    <t>Nguyễn Ánh Tuyết</t>
  </si>
  <si>
    <t>2001</t>
  </si>
  <si>
    <t>NV050</t>
  </si>
  <si>
    <t>Phạm Thị Hồng Nhi</t>
  </si>
  <si>
    <t>1998</t>
  </si>
  <si>
    <t>NV051</t>
  </si>
  <si>
    <t>Phạm Thị Thu Hằng</t>
  </si>
  <si>
    <t>1988</t>
  </si>
  <si>
    <t>NV052</t>
  </si>
  <si>
    <t>Phạm Thị Tuyết Lê</t>
  </si>
  <si>
    <t>NV053</t>
  </si>
  <si>
    <t>Phạm Thị Tố Trinh</t>
  </si>
  <si>
    <t>NV054</t>
  </si>
  <si>
    <t>Phạm Đức Thành</t>
  </si>
  <si>
    <t>1969</t>
  </si>
  <si>
    <t>NV055</t>
  </si>
  <si>
    <t>Nguyễn Quốc Hiền</t>
  </si>
  <si>
    <t>1977</t>
  </si>
  <si>
    <t>NV056</t>
  </si>
  <si>
    <t>Đỗ Văn Quang</t>
  </si>
  <si>
    <t>NV057</t>
  </si>
  <si>
    <t>Nguyễn Kiều Thương</t>
  </si>
  <si>
    <t>NV058</t>
  </si>
  <si>
    <t>Trần Bảo Ngọc</t>
  </si>
  <si>
    <t>NV059</t>
  </si>
  <si>
    <t>Đoàn Thị Nhật Ánh</t>
  </si>
  <si>
    <t>NV060</t>
  </si>
  <si>
    <t>Trần Thị Khánh Vân</t>
  </si>
  <si>
    <t>15/07/1978</t>
  </si>
  <si>
    <t>NV061</t>
  </si>
  <si>
    <t>Phan Thị Hoàng Oanh</t>
  </si>
  <si>
    <t>NV062</t>
  </si>
  <si>
    <t>Trần Lê Quốc Trung</t>
  </si>
  <si>
    <t>NV063</t>
  </si>
  <si>
    <t>Nguyễn Thị Phương Thảo</t>
  </si>
  <si>
    <t>NV064</t>
  </si>
  <si>
    <t>Đoàn Ngọc Vũ</t>
  </si>
  <si>
    <t>1975</t>
  </si>
  <si>
    <t>NV065</t>
  </si>
  <si>
    <t>Huỳnh Thị Hoa</t>
  </si>
  <si>
    <t>NV066</t>
  </si>
  <si>
    <t>Nguyễn Thị Sưa</t>
  </si>
  <si>
    <t>NV067</t>
  </si>
  <si>
    <t>Lê Nguyễn Kim Sơn</t>
  </si>
  <si>
    <t>NV068</t>
  </si>
  <si>
    <t>Nguyễn Thị Kim Đầy</t>
  </si>
  <si>
    <t>NV069</t>
  </si>
  <si>
    <t>Trần Thị Thúy</t>
  </si>
  <si>
    <t>NV070</t>
  </si>
  <si>
    <t>Nguyễn Thị Ngân Liên</t>
  </si>
  <si>
    <t>1965</t>
  </si>
  <si>
    <t>NV071</t>
  </si>
  <si>
    <t>Trần Thị Kim Ngân</t>
  </si>
  <si>
    <t>1964</t>
  </si>
  <si>
    <t>NV073</t>
  </si>
  <si>
    <t>Phạm Văn Hương</t>
  </si>
  <si>
    <t>1962</t>
  </si>
  <si>
    <t>NV074</t>
  </si>
  <si>
    <t>Trần Thị Nết</t>
  </si>
  <si>
    <t>NV075</t>
  </si>
  <si>
    <t>Trần Thị Tài</t>
  </si>
  <si>
    <t>1957</t>
  </si>
  <si>
    <t>NV076</t>
  </si>
  <si>
    <t>Đinh Thị Lý</t>
  </si>
  <si>
    <t>1956</t>
  </si>
  <si>
    <t>NV077</t>
  </si>
  <si>
    <t>Trần Thị Tư</t>
  </si>
  <si>
    <t>1954</t>
  </si>
  <si>
    <t>NV078</t>
  </si>
  <si>
    <t>Nguyễn Bách Thọ</t>
  </si>
  <si>
    <t>1961</t>
  </si>
  <si>
    <t>NV079</t>
  </si>
  <si>
    <t>Nguyễn Thị Kiều Oanh</t>
  </si>
  <si>
    <t>NV072</t>
  </si>
  <si>
    <t>Lê Thị Hồng Hải</t>
  </si>
  <si>
    <t>1959</t>
  </si>
  <si>
    <t>NV080</t>
  </si>
  <si>
    <t>Võ Anh Mỹ</t>
  </si>
  <si>
    <t>NV024</t>
  </si>
  <si>
    <t>Huỳnh Thị Thu Trang</t>
  </si>
  <si>
    <t>NV025</t>
  </si>
  <si>
    <t>Ngô Thị Tú Thơ</t>
  </si>
  <si>
    <t>NV028</t>
  </si>
  <si>
    <t>Trần Thị Nguyên Ngọc</t>
  </si>
  <si>
    <t>NV030</t>
  </si>
  <si>
    <t>Huỳnh Trần Thị Thanh Yên</t>
  </si>
  <si>
    <t>NV032</t>
  </si>
  <si>
    <t>Nguyễn Thị Phụng</t>
  </si>
  <si>
    <t>NV033</t>
  </si>
  <si>
    <t>Phạm Ngọc Đức</t>
  </si>
  <si>
    <t>NV026</t>
  </si>
  <si>
    <t>Ghi chú</t>
  </si>
  <si>
    <t>Ko khám, ko chụp xq tim phổi, ko nội soi họng - thanh quản</t>
  </si>
  <si>
    <t>Ko khám, ko chụp xq tim phổi</t>
  </si>
  <si>
    <t>Ko đo CNHH</t>
  </si>
  <si>
    <t>Ko pap, ko siêu âm SPK</t>
  </si>
  <si>
    <t>Ko soi tươi phân tìm KST</t>
  </si>
  <si>
    <t>Ko siêu âm SPK, ko chụp xq tim phổi</t>
  </si>
  <si>
    <t>Ko soi cổ tử cung</t>
  </si>
  <si>
    <t>Ko đo CNHH, ko đo thính lực</t>
  </si>
  <si>
    <t>Ko siêu âm đàn hồi mô gan</t>
  </si>
  <si>
    <t>SỐ 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</si>
</sst>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1"/>
      <name val="Times New Roman"/>
    </font>
    <font>
      <b/>
      <sz val="11"/>
      <name val="Times New Roman"/>
    </font>
    <font>
      <b/>
      <sz val="11"/>
      <name val="Calibri"/>
      <family val="2"/>
    </font>
    <font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0" borderId="4" xfId="0" applyFont="1" applyBorder="1" applyAlignment="1">
      <alignment vertical="top"/>
    </xf>
    <xf numFmtId="3" fontId="1" fillId="0" borderId="4" xfId="0" applyNumberFormat="1" applyFont="1" applyBorder="1" applyAlignment="1">
      <alignment vertical="top"/>
    </xf>
    <xf numFmtId="3" fontId="3" fillId="2" borderId="0" xfId="0" applyNumberFormat="1" applyFont="1" applyFill="1"/>
    <xf numFmtId="0" fontId="2" fillId="0" borderId="2" xfId="0" applyFont="1" applyBorder="1" applyAlignment="1">
      <alignment vertical="top" wrapText="1"/>
    </xf>
    <xf numFmtId="0" fontId="2" fillId="0" borderId="1" xfId="0" applyFont="1" applyBorder="1"/>
    <xf numFmtId="0" fontId="2" fillId="0" borderId="3" xfId="0" applyFont="1" applyBorder="1"/>
    <xf numFmtId="0" fontId="2" fillId="0" borderId="5" xfId="0" applyFont="1" applyFill="1" applyBorder="1" applyAlignment="1">
      <alignment vertical="top" wrapText="1"/>
    </xf>
    <xf numFmtId="3" fontId="1" fillId="0" borderId="4" xfId="0" applyNumberFormat="1" applyFont="1" applyBorder="1" applyAlignment="1">
      <alignment vertical="top" wrapText="1"/>
    </xf>
    <xf numFmtId="3" fontId="4" fillId="0" borderId="4" xfId="0" applyNumberFormat="1" applyFont="1" applyBorder="1" applyAlignment="1">
      <alignment vertical="top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ATA-TN\Ho&#224;ng\2025\T5\BIDV%20QU&#7842;NG%20NAM%20(62-2025)\B&#7842;NG%20K&#202;%20CHI%20TI&#7870;T%20BIDV%20QU&#7842;NG%20NAM.xlsx" TargetMode="External"/><Relationship Id="rId1" Type="http://schemas.openxmlformats.org/officeDocument/2006/relationships/externalLinkPath" Target="B&#7842;NG%20K&#202;%20CHI%20TI&#7870;T%20BIDV%20QU&#7842;NG%20N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ổng hợp"/>
    </sheetNames>
    <sheetDataSet>
      <sheetData sheetId="0">
        <row r="4">
          <cell r="F4" t="str">
            <v>NV001</v>
          </cell>
          <cell r="EG4">
            <v>5962000</v>
          </cell>
        </row>
        <row r="5">
          <cell r="F5" t="str">
            <v>NV002</v>
          </cell>
          <cell r="EG5">
            <v>4476000</v>
          </cell>
        </row>
        <row r="6">
          <cell r="F6" t="str">
            <v>NV003</v>
          </cell>
          <cell r="EG6">
            <v>754000</v>
          </cell>
        </row>
        <row r="7">
          <cell r="F7" t="str">
            <v>NV004</v>
          </cell>
          <cell r="EG7">
            <v>2743000</v>
          </cell>
        </row>
        <row r="8">
          <cell r="F8" t="str">
            <v>NV005</v>
          </cell>
          <cell r="EG8">
            <v>2370000</v>
          </cell>
        </row>
        <row r="9">
          <cell r="F9" t="str">
            <v>NV006</v>
          </cell>
          <cell r="EG9">
            <v>1702000</v>
          </cell>
        </row>
        <row r="10">
          <cell r="F10" t="str">
            <v>NV007</v>
          </cell>
          <cell r="EG10">
            <v>3616000</v>
          </cell>
        </row>
        <row r="11">
          <cell r="F11" t="str">
            <v>NV008</v>
          </cell>
          <cell r="EG11">
            <v>4693000</v>
          </cell>
        </row>
        <row r="12">
          <cell r="F12" t="str">
            <v>NV009</v>
          </cell>
          <cell r="EG12">
            <v>3947000</v>
          </cell>
        </row>
        <row r="13">
          <cell r="F13" t="str">
            <v>NV010</v>
          </cell>
          <cell r="EG13">
            <v>3412000</v>
          </cell>
        </row>
        <row r="14">
          <cell r="F14" t="str">
            <v>NV011</v>
          </cell>
          <cell r="EG14">
            <v>2002000</v>
          </cell>
        </row>
        <row r="15">
          <cell r="F15" t="str">
            <v>NV012</v>
          </cell>
          <cell r="EG15">
            <v>4108000</v>
          </cell>
        </row>
        <row r="16">
          <cell r="F16" t="str">
            <v>NV013</v>
          </cell>
          <cell r="EG16">
            <v>3087000</v>
          </cell>
        </row>
        <row r="17">
          <cell r="F17" t="str">
            <v>NV014</v>
          </cell>
          <cell r="EG17">
            <v>2148000</v>
          </cell>
        </row>
        <row r="18">
          <cell r="F18" t="str">
            <v>NV015</v>
          </cell>
          <cell r="EG18">
            <v>3494000</v>
          </cell>
        </row>
        <row r="19">
          <cell r="F19" t="str">
            <v>NV016</v>
          </cell>
          <cell r="EG19">
            <v>2998000</v>
          </cell>
        </row>
        <row r="20">
          <cell r="F20" t="str">
            <v>NV017</v>
          </cell>
          <cell r="EG20">
            <v>1566000</v>
          </cell>
        </row>
        <row r="21">
          <cell r="F21" t="str">
            <v>NV018</v>
          </cell>
          <cell r="EG21">
            <v>1696000</v>
          </cell>
        </row>
        <row r="22">
          <cell r="F22" t="str">
            <v>NV019</v>
          </cell>
          <cell r="EG22">
            <v>2003000</v>
          </cell>
        </row>
        <row r="23">
          <cell r="F23" t="str">
            <v>NV020</v>
          </cell>
          <cell r="EG23">
            <v>4069000</v>
          </cell>
        </row>
        <row r="24">
          <cell r="F24" t="str">
            <v>NV021</v>
          </cell>
          <cell r="EG24">
            <v>1943000</v>
          </cell>
        </row>
        <row r="25">
          <cell r="F25" t="str">
            <v>NV022</v>
          </cell>
          <cell r="EG25">
            <v>1982000</v>
          </cell>
        </row>
        <row r="26">
          <cell r="F26" t="str">
            <v>NV023</v>
          </cell>
          <cell r="EG26">
            <v>6265000</v>
          </cell>
        </row>
        <row r="27">
          <cell r="F27" t="str">
            <v>NV027</v>
          </cell>
          <cell r="EG27">
            <v>3497000</v>
          </cell>
        </row>
        <row r="28">
          <cell r="F28" t="str">
            <v>NV029</v>
          </cell>
          <cell r="EG28">
            <v>2916000</v>
          </cell>
        </row>
        <row r="29">
          <cell r="F29" t="str">
            <v>NV031</v>
          </cell>
          <cell r="EG29">
            <v>3356000</v>
          </cell>
        </row>
        <row r="30">
          <cell r="F30" t="str">
            <v>NV034</v>
          </cell>
          <cell r="EG30">
            <v>3089000</v>
          </cell>
        </row>
        <row r="31">
          <cell r="F31" t="str">
            <v>NV035</v>
          </cell>
          <cell r="EG31">
            <v>6175000</v>
          </cell>
        </row>
        <row r="32">
          <cell r="F32" t="str">
            <v>NV036</v>
          </cell>
          <cell r="EG32">
            <v>3419000</v>
          </cell>
        </row>
        <row r="33">
          <cell r="F33" t="str">
            <v>NV037</v>
          </cell>
          <cell r="EG33">
            <v>2873000</v>
          </cell>
        </row>
        <row r="34">
          <cell r="F34" t="str">
            <v>NV038</v>
          </cell>
          <cell r="EG34">
            <v>2153000</v>
          </cell>
        </row>
        <row r="35">
          <cell r="F35" t="str">
            <v>NV039</v>
          </cell>
          <cell r="EG35">
            <v>2785000</v>
          </cell>
        </row>
        <row r="36">
          <cell r="F36" t="str">
            <v>NV040</v>
          </cell>
          <cell r="EG36">
            <v>2910000</v>
          </cell>
        </row>
        <row r="37">
          <cell r="F37" t="str">
            <v>NV041</v>
          </cell>
          <cell r="EG37">
            <v>4765000</v>
          </cell>
        </row>
        <row r="38">
          <cell r="F38" t="str">
            <v>NV042</v>
          </cell>
          <cell r="EG38">
            <v>3085000</v>
          </cell>
        </row>
        <row r="39">
          <cell r="F39" t="str">
            <v>NV043</v>
          </cell>
          <cell r="EG39">
            <v>3455000</v>
          </cell>
        </row>
        <row r="40">
          <cell r="F40" t="str">
            <v>NV044</v>
          </cell>
          <cell r="EG40">
            <v>3377000</v>
          </cell>
        </row>
        <row r="41">
          <cell r="F41" t="str">
            <v>NV045</v>
          </cell>
          <cell r="EG41">
            <v>3595000</v>
          </cell>
        </row>
        <row r="42">
          <cell r="F42" t="str">
            <v>NV046</v>
          </cell>
          <cell r="EG42">
            <v>3185000</v>
          </cell>
        </row>
        <row r="43">
          <cell r="F43" t="str">
            <v>NV047</v>
          </cell>
          <cell r="EG43">
            <v>3344000</v>
          </cell>
        </row>
        <row r="44">
          <cell r="F44" t="str">
            <v>NV048</v>
          </cell>
          <cell r="EG44">
            <v>3602000</v>
          </cell>
        </row>
        <row r="45">
          <cell r="F45" t="str">
            <v>NV049</v>
          </cell>
          <cell r="EG45">
            <v>1884000</v>
          </cell>
        </row>
        <row r="46">
          <cell r="F46" t="str">
            <v>NV050</v>
          </cell>
          <cell r="EG46">
            <v>3622000</v>
          </cell>
        </row>
        <row r="47">
          <cell r="F47" t="str">
            <v>NV051</v>
          </cell>
          <cell r="EG47">
            <v>3254000</v>
          </cell>
        </row>
        <row r="48">
          <cell r="F48" t="str">
            <v>NV052</v>
          </cell>
          <cell r="EG48">
            <v>2956000</v>
          </cell>
        </row>
        <row r="49">
          <cell r="F49" t="str">
            <v>NV053</v>
          </cell>
          <cell r="EG49">
            <v>3946000</v>
          </cell>
        </row>
        <row r="50">
          <cell r="F50" t="str">
            <v>NV054</v>
          </cell>
          <cell r="EG50">
            <v>3440000</v>
          </cell>
        </row>
        <row r="51">
          <cell r="F51" t="str">
            <v>NV055</v>
          </cell>
          <cell r="EG51">
            <v>2300000</v>
          </cell>
        </row>
        <row r="52">
          <cell r="F52" t="str">
            <v>NV056</v>
          </cell>
          <cell r="EG52">
            <v>2014000</v>
          </cell>
        </row>
        <row r="53">
          <cell r="F53" t="str">
            <v>NV057</v>
          </cell>
          <cell r="EG53">
            <v>1993000</v>
          </cell>
        </row>
        <row r="54">
          <cell r="F54" t="str">
            <v>NV058</v>
          </cell>
          <cell r="EG54">
            <v>2833000</v>
          </cell>
        </row>
        <row r="55">
          <cell r="F55" t="str">
            <v>NV059</v>
          </cell>
          <cell r="EG55">
            <v>2187000</v>
          </cell>
        </row>
        <row r="56">
          <cell r="F56" t="str">
            <v>NV060</v>
          </cell>
          <cell r="EG56">
            <v>2355000</v>
          </cell>
        </row>
        <row r="57">
          <cell r="F57" t="str">
            <v>NV061</v>
          </cell>
          <cell r="EG57">
            <v>3489000</v>
          </cell>
        </row>
        <row r="58">
          <cell r="F58" t="str">
            <v>NV062</v>
          </cell>
          <cell r="EG58">
            <v>3669000</v>
          </cell>
        </row>
        <row r="59">
          <cell r="F59" t="str">
            <v>NV063</v>
          </cell>
          <cell r="EG59">
            <v>6388000</v>
          </cell>
        </row>
        <row r="60">
          <cell r="F60" t="str">
            <v>NV064</v>
          </cell>
          <cell r="EG60">
            <v>3600000</v>
          </cell>
        </row>
        <row r="61">
          <cell r="F61" t="str">
            <v>NV065</v>
          </cell>
          <cell r="EG61">
            <v>2088000</v>
          </cell>
        </row>
        <row r="62">
          <cell r="F62" t="str">
            <v>NV066</v>
          </cell>
          <cell r="EG62">
            <v>4431000</v>
          </cell>
        </row>
        <row r="63">
          <cell r="F63" t="str">
            <v>NV067</v>
          </cell>
          <cell r="EG63">
            <v>4289000</v>
          </cell>
        </row>
        <row r="64">
          <cell r="F64" t="str">
            <v>NV068</v>
          </cell>
          <cell r="EG64">
            <v>2632000</v>
          </cell>
        </row>
        <row r="65">
          <cell r="F65" t="str">
            <v>NV069</v>
          </cell>
          <cell r="EG65">
            <v>3788000</v>
          </cell>
        </row>
        <row r="66">
          <cell r="F66" t="str">
            <v>NV070</v>
          </cell>
          <cell r="EG66">
            <v>2254000</v>
          </cell>
        </row>
        <row r="67">
          <cell r="F67" t="str">
            <v>NV071</v>
          </cell>
          <cell r="EG67">
            <v>2652000</v>
          </cell>
        </row>
        <row r="68">
          <cell r="F68" t="str">
            <v>NV073</v>
          </cell>
          <cell r="EG68">
            <v>2733000</v>
          </cell>
        </row>
        <row r="69">
          <cell r="F69" t="str">
            <v>NV074</v>
          </cell>
          <cell r="EG69">
            <v>1897000</v>
          </cell>
        </row>
        <row r="70">
          <cell r="F70" t="str">
            <v>NV075</v>
          </cell>
          <cell r="EG70">
            <v>2352000</v>
          </cell>
        </row>
        <row r="71">
          <cell r="F71" t="str">
            <v>NV076</v>
          </cell>
          <cell r="EG71">
            <v>3484000</v>
          </cell>
        </row>
        <row r="72">
          <cell r="F72" t="str">
            <v>NV077</v>
          </cell>
          <cell r="EG72">
            <v>2871000</v>
          </cell>
        </row>
        <row r="73">
          <cell r="F73" t="str">
            <v>NV078</v>
          </cell>
          <cell r="EG73">
            <v>3521000</v>
          </cell>
        </row>
        <row r="74">
          <cell r="F74" t="str">
            <v>NV079</v>
          </cell>
          <cell r="EG74">
            <v>2488000</v>
          </cell>
        </row>
        <row r="75">
          <cell r="F75" t="str">
            <v>NV072</v>
          </cell>
          <cell r="EG75">
            <v>2520000</v>
          </cell>
        </row>
        <row r="76">
          <cell r="F76" t="str">
            <v>NV080</v>
          </cell>
          <cell r="EG76">
            <v>3858000</v>
          </cell>
        </row>
        <row r="77">
          <cell r="F77" t="str">
            <v>NV024</v>
          </cell>
          <cell r="EG77">
            <v>2717000</v>
          </cell>
        </row>
        <row r="78">
          <cell r="F78" t="str">
            <v>NV025</v>
          </cell>
          <cell r="EG78">
            <v>3859000</v>
          </cell>
        </row>
        <row r="79">
          <cell r="F79" t="str">
            <v>NV028</v>
          </cell>
          <cell r="EG79">
            <v>2375000</v>
          </cell>
        </row>
        <row r="80">
          <cell r="F80" t="str">
            <v>NV030</v>
          </cell>
          <cell r="EG80">
            <v>4815000</v>
          </cell>
        </row>
        <row r="81">
          <cell r="F81" t="str">
            <v>NV032</v>
          </cell>
          <cell r="EG81">
            <v>4695000</v>
          </cell>
        </row>
        <row r="82">
          <cell r="F82" t="str">
            <v>NV033</v>
          </cell>
          <cell r="EG82">
            <v>3672000</v>
          </cell>
        </row>
        <row r="83">
          <cell r="F83" t="str">
            <v>NV026</v>
          </cell>
          <cell r="EG83">
            <v>4025000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"/>
  <sheetViews>
    <sheetView tabSelected="1" topLeftCell="C4" workbookViewId="0">
      <selection activeCell="L13" sqref="L13"/>
    </sheetView>
  </sheetViews>
  <sheetFormatPr defaultRowHeight="15"/>
  <cols>
    <col min="2" max="2" width="25" customWidth="1"/>
    <col min="3" max="3" width="10" customWidth="1"/>
    <col min="5" max="5" width="15" customWidth="1"/>
    <col min="6" max="6" width="11.42578125" customWidth="1"/>
    <col min="7" max="7" width="11" customWidth="1"/>
    <col min="8" max="8" width="11.7109375" customWidth="1"/>
    <col min="9" max="9" width="13" customWidth="1"/>
    <col min="10" max="10" width="11.42578125" customWidth="1"/>
    <col min="11" max="12" width="10" customWidth="1"/>
    <col min="13" max="13" width="11.85546875" customWidth="1"/>
    <col min="14" max="14" width="23.140625" customWidth="1"/>
  </cols>
  <sheetData>
    <row r="1" spans="1:16">
      <c r="A1" s="6" t="s">
        <v>0</v>
      </c>
      <c r="B1" s="7"/>
      <c r="C1" s="7"/>
      <c r="D1" s="7"/>
      <c r="E1" s="7"/>
      <c r="F1" s="6" t="s">
        <v>1</v>
      </c>
      <c r="G1" s="7"/>
      <c r="H1" s="8"/>
      <c r="I1" s="6" t="s">
        <v>2</v>
      </c>
      <c r="J1" s="8"/>
      <c r="K1" s="6" t="s">
        <v>3</v>
      </c>
      <c r="L1" s="7"/>
      <c r="M1" s="8"/>
    </row>
    <row r="2" spans="1:16" ht="42.7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213</v>
      </c>
      <c r="O2" s="9" t="s">
        <v>223</v>
      </c>
    </row>
    <row r="3" spans="1:16">
      <c r="A3" s="3">
        <v>1</v>
      </c>
      <c r="B3" s="1" t="s">
        <v>17</v>
      </c>
      <c r="C3" s="1" t="s">
        <v>18</v>
      </c>
      <c r="D3" s="1" t="s">
        <v>19</v>
      </c>
      <c r="E3" s="1" t="s">
        <v>20</v>
      </c>
      <c r="F3" s="4">
        <v>5962000</v>
      </c>
      <c r="G3" s="4"/>
      <c r="H3" s="4">
        <f>F3+G3</f>
        <v>5962000</v>
      </c>
      <c r="I3" s="4">
        <f>H3-J3-K3</f>
        <v>5962000</v>
      </c>
      <c r="J3" s="4"/>
      <c r="K3" s="4"/>
      <c r="L3" s="4"/>
      <c r="M3" s="4">
        <f>I3+K3</f>
        <v>5962000</v>
      </c>
      <c r="N3" s="10"/>
      <c r="O3">
        <f>_xlfn.XLOOKUP(E3,'[1]Tổng hợp'!$F$4:$F$83,'[1]Tổng hợp'!$EG$4:$EG$83,,0)</f>
        <v>5962000</v>
      </c>
      <c r="P3" s="12">
        <f>I3-O3</f>
        <v>0</v>
      </c>
    </row>
    <row r="4" spans="1:16">
      <c r="A4" s="3">
        <v>2</v>
      </c>
      <c r="B4" s="1" t="s">
        <v>21</v>
      </c>
      <c r="C4" s="1" t="s">
        <v>22</v>
      </c>
      <c r="D4" s="1" t="s">
        <v>23</v>
      </c>
      <c r="E4" s="1" t="s">
        <v>24</v>
      </c>
      <c r="F4" s="4">
        <v>4476000</v>
      </c>
      <c r="G4" s="4"/>
      <c r="H4" s="4">
        <f t="shared" ref="H4:H67" si="0">F4+G4</f>
        <v>4476000</v>
      </c>
      <c r="I4" s="4">
        <f t="shared" ref="I4:I67" si="1">H4-J4-K4</f>
        <v>4476000</v>
      </c>
      <c r="J4" s="4"/>
      <c r="K4" s="4"/>
      <c r="L4" s="4"/>
      <c r="M4" s="4">
        <f t="shared" ref="M4:M67" si="2">I4+K4</f>
        <v>4476000</v>
      </c>
      <c r="N4" s="10"/>
      <c r="O4">
        <f>_xlfn.XLOOKUP(E4,'[1]Tổng hợp'!$F$4:$F$83,'[1]Tổng hợp'!$EG$4:$EG$83,,0)</f>
        <v>4476000</v>
      </c>
      <c r="P4" s="12">
        <f t="shared" ref="P4:P67" si="3">I4-O4</f>
        <v>0</v>
      </c>
    </row>
    <row r="5" spans="1:16" ht="45">
      <c r="A5" s="3">
        <v>3</v>
      </c>
      <c r="B5" s="1" t="s">
        <v>25</v>
      </c>
      <c r="C5" s="1" t="s">
        <v>26</v>
      </c>
      <c r="D5" s="1" t="s">
        <v>23</v>
      </c>
      <c r="E5" s="1" t="s">
        <v>27</v>
      </c>
      <c r="F5" s="4">
        <v>1276000</v>
      </c>
      <c r="G5" s="4"/>
      <c r="H5" s="4">
        <f t="shared" si="0"/>
        <v>1276000</v>
      </c>
      <c r="I5" s="4">
        <f t="shared" si="1"/>
        <v>754000</v>
      </c>
      <c r="J5" s="4">
        <v>522000</v>
      </c>
      <c r="K5" s="4"/>
      <c r="L5" s="4"/>
      <c r="M5" s="4">
        <f t="shared" si="2"/>
        <v>754000</v>
      </c>
      <c r="N5" s="11" t="s">
        <v>214</v>
      </c>
      <c r="O5">
        <f>_xlfn.XLOOKUP(E5,'[1]Tổng hợp'!$F$4:$F$83,'[1]Tổng hợp'!$EG$4:$EG$83,,0)</f>
        <v>754000</v>
      </c>
      <c r="P5" s="12">
        <f t="shared" si="3"/>
        <v>0</v>
      </c>
    </row>
    <row r="6" spans="1:16">
      <c r="A6" s="3">
        <v>4</v>
      </c>
      <c r="B6" s="1" t="s">
        <v>28</v>
      </c>
      <c r="C6" s="1" t="s">
        <v>26</v>
      </c>
      <c r="D6" s="1" t="s">
        <v>23</v>
      </c>
      <c r="E6" s="1" t="s">
        <v>29</v>
      </c>
      <c r="F6" s="4">
        <v>2743000</v>
      </c>
      <c r="G6" s="4"/>
      <c r="H6" s="4">
        <f t="shared" si="0"/>
        <v>2743000</v>
      </c>
      <c r="I6" s="4">
        <f t="shared" si="1"/>
        <v>2743000</v>
      </c>
      <c r="J6" s="4"/>
      <c r="K6" s="4"/>
      <c r="L6" s="4"/>
      <c r="M6" s="4">
        <f t="shared" si="2"/>
        <v>2743000</v>
      </c>
      <c r="N6" s="10"/>
      <c r="O6">
        <f>_xlfn.XLOOKUP(E6,'[1]Tổng hợp'!$F$4:$F$83,'[1]Tổng hợp'!$EG$4:$EG$83,,0)</f>
        <v>2743000</v>
      </c>
      <c r="P6" s="12">
        <f t="shared" si="3"/>
        <v>0</v>
      </c>
    </row>
    <row r="7" spans="1:16">
      <c r="A7" s="3">
        <v>5</v>
      </c>
      <c r="B7" s="1" t="s">
        <v>30</v>
      </c>
      <c r="C7" s="1" t="s">
        <v>31</v>
      </c>
      <c r="D7" s="1" t="s">
        <v>19</v>
      </c>
      <c r="E7" s="1" t="s">
        <v>32</v>
      </c>
      <c r="F7" s="4">
        <v>2370000</v>
      </c>
      <c r="G7" s="4"/>
      <c r="H7" s="4">
        <f t="shared" si="0"/>
        <v>2370000</v>
      </c>
      <c r="I7" s="4">
        <f t="shared" si="1"/>
        <v>2370000</v>
      </c>
      <c r="J7" s="4"/>
      <c r="K7" s="4"/>
      <c r="L7" s="4"/>
      <c r="M7" s="4">
        <f t="shared" si="2"/>
        <v>2370000</v>
      </c>
      <c r="N7" s="10"/>
      <c r="O7">
        <f>_xlfn.XLOOKUP(E7,'[1]Tổng hợp'!$F$4:$F$83,'[1]Tổng hợp'!$EG$4:$EG$83,,0)</f>
        <v>2370000</v>
      </c>
      <c r="P7" s="12">
        <f t="shared" si="3"/>
        <v>0</v>
      </c>
    </row>
    <row r="8" spans="1:16" ht="30">
      <c r="A8" s="3">
        <v>6</v>
      </c>
      <c r="B8" s="1" t="s">
        <v>33</v>
      </c>
      <c r="C8" s="1" t="s">
        <v>34</v>
      </c>
      <c r="D8" s="1" t="s">
        <v>23</v>
      </c>
      <c r="E8" s="1" t="s">
        <v>35</v>
      </c>
      <c r="F8" s="4">
        <v>2004000</v>
      </c>
      <c r="G8" s="4"/>
      <c r="H8" s="4">
        <f t="shared" si="0"/>
        <v>2004000</v>
      </c>
      <c r="I8" s="4">
        <f t="shared" si="1"/>
        <v>1702000</v>
      </c>
      <c r="J8" s="4">
        <v>302000</v>
      </c>
      <c r="K8" s="4"/>
      <c r="L8" s="4"/>
      <c r="M8" s="4">
        <f t="shared" si="2"/>
        <v>1702000</v>
      </c>
      <c r="N8" s="11" t="s">
        <v>215</v>
      </c>
      <c r="O8">
        <f>_xlfn.XLOOKUP(E8,'[1]Tổng hợp'!$F$4:$F$83,'[1]Tổng hợp'!$EG$4:$EG$83,,0)</f>
        <v>1702000</v>
      </c>
      <c r="P8" s="12">
        <f t="shared" si="3"/>
        <v>0</v>
      </c>
    </row>
    <row r="9" spans="1:16">
      <c r="A9" s="3">
        <v>7</v>
      </c>
      <c r="B9" s="1" t="s">
        <v>36</v>
      </c>
      <c r="C9" s="1" t="s">
        <v>31</v>
      </c>
      <c r="D9" s="1" t="s">
        <v>19</v>
      </c>
      <c r="E9" s="1" t="s">
        <v>37</v>
      </c>
      <c r="F9" s="4">
        <v>3616000</v>
      </c>
      <c r="G9" s="4"/>
      <c r="H9" s="4">
        <f t="shared" si="0"/>
        <v>3616000</v>
      </c>
      <c r="I9" s="4">
        <f t="shared" si="1"/>
        <v>3616000</v>
      </c>
      <c r="J9" s="4"/>
      <c r="K9" s="4"/>
      <c r="L9" s="4"/>
      <c r="M9" s="4">
        <f t="shared" si="2"/>
        <v>3616000</v>
      </c>
      <c r="N9" s="10"/>
      <c r="O9">
        <f>_xlfn.XLOOKUP(E9,'[1]Tổng hợp'!$F$4:$F$83,'[1]Tổng hợp'!$EG$4:$EG$83,,0)</f>
        <v>3616000</v>
      </c>
      <c r="P9" s="12">
        <f t="shared" si="3"/>
        <v>0</v>
      </c>
    </row>
    <row r="10" spans="1:16">
      <c r="A10" s="3">
        <v>8</v>
      </c>
      <c r="B10" s="1" t="s">
        <v>38</v>
      </c>
      <c r="C10" s="1" t="s">
        <v>39</v>
      </c>
      <c r="D10" s="1" t="s">
        <v>19</v>
      </c>
      <c r="E10" s="1" t="s">
        <v>40</v>
      </c>
      <c r="F10" s="4">
        <v>4693000</v>
      </c>
      <c r="G10" s="4"/>
      <c r="H10" s="4">
        <f t="shared" si="0"/>
        <v>4693000</v>
      </c>
      <c r="I10" s="4">
        <f t="shared" si="1"/>
        <v>4693000</v>
      </c>
      <c r="J10" s="4"/>
      <c r="K10" s="4"/>
      <c r="L10" s="4"/>
      <c r="M10" s="4">
        <f t="shared" si="2"/>
        <v>4693000</v>
      </c>
      <c r="N10" s="10"/>
      <c r="O10">
        <f>_xlfn.XLOOKUP(E10,'[1]Tổng hợp'!$F$4:$F$83,'[1]Tổng hợp'!$EG$4:$EG$83,,0)</f>
        <v>4693000</v>
      </c>
      <c r="P10" s="12">
        <f t="shared" si="3"/>
        <v>0</v>
      </c>
    </row>
    <row r="11" spans="1:16">
      <c r="A11" s="3">
        <v>9</v>
      </c>
      <c r="B11" s="1" t="s">
        <v>41</v>
      </c>
      <c r="C11" s="1" t="s">
        <v>39</v>
      </c>
      <c r="D11" s="1" t="s">
        <v>19</v>
      </c>
      <c r="E11" s="1" t="s">
        <v>42</v>
      </c>
      <c r="F11" s="4">
        <v>4167000</v>
      </c>
      <c r="G11" s="4"/>
      <c r="H11" s="4">
        <f t="shared" si="0"/>
        <v>4167000</v>
      </c>
      <c r="I11" s="4">
        <f t="shared" si="1"/>
        <v>3947000</v>
      </c>
      <c r="J11" s="4">
        <v>220000</v>
      </c>
      <c r="K11" s="4"/>
      <c r="L11" s="4"/>
      <c r="M11" s="4">
        <f t="shared" si="2"/>
        <v>3947000</v>
      </c>
      <c r="N11" s="11" t="s">
        <v>220</v>
      </c>
      <c r="O11">
        <f>_xlfn.XLOOKUP(E11,'[1]Tổng hợp'!$F$4:$F$83,'[1]Tổng hợp'!$EG$4:$EG$83,,0)</f>
        <v>3947000</v>
      </c>
      <c r="P11" s="12">
        <f t="shared" si="3"/>
        <v>0</v>
      </c>
    </row>
    <row r="12" spans="1:16">
      <c r="A12" s="3">
        <v>10</v>
      </c>
      <c r="B12" s="1" t="s">
        <v>43</v>
      </c>
      <c r="C12" s="1" t="s">
        <v>44</v>
      </c>
      <c r="D12" s="1" t="s">
        <v>19</v>
      </c>
      <c r="E12" s="1" t="s">
        <v>45</v>
      </c>
      <c r="F12" s="4">
        <v>3412000</v>
      </c>
      <c r="G12" s="4"/>
      <c r="H12" s="4">
        <f t="shared" si="0"/>
        <v>3412000</v>
      </c>
      <c r="I12" s="4">
        <f t="shared" si="1"/>
        <v>3412000</v>
      </c>
      <c r="J12" s="4"/>
      <c r="K12" s="4"/>
      <c r="L12" s="4"/>
      <c r="M12" s="4">
        <f t="shared" si="2"/>
        <v>3412000</v>
      </c>
      <c r="N12" s="10"/>
      <c r="O12">
        <f>_xlfn.XLOOKUP(E12,'[1]Tổng hợp'!$F$4:$F$83,'[1]Tổng hợp'!$EG$4:$EG$83,,0)</f>
        <v>3412000</v>
      </c>
      <c r="P12" s="12">
        <f t="shared" si="3"/>
        <v>0</v>
      </c>
    </row>
    <row r="13" spans="1:16">
      <c r="A13" s="3">
        <v>11</v>
      </c>
      <c r="B13" s="1" t="s">
        <v>46</v>
      </c>
      <c r="C13" s="1" t="s">
        <v>47</v>
      </c>
      <c r="D13" s="1" t="s">
        <v>19</v>
      </c>
      <c r="E13" s="1" t="s">
        <v>48</v>
      </c>
      <c r="F13" s="4">
        <v>2002000</v>
      </c>
      <c r="G13" s="4"/>
      <c r="H13" s="4">
        <f t="shared" si="0"/>
        <v>2002000</v>
      </c>
      <c r="I13" s="4">
        <f t="shared" si="1"/>
        <v>2002000</v>
      </c>
      <c r="J13" s="4"/>
      <c r="K13" s="4"/>
      <c r="L13" s="4"/>
      <c r="M13" s="4">
        <f t="shared" si="2"/>
        <v>2002000</v>
      </c>
      <c r="N13" s="10"/>
      <c r="O13">
        <f>_xlfn.XLOOKUP(E13,'[1]Tổng hợp'!$F$4:$F$83,'[1]Tổng hợp'!$EG$4:$EG$83,,0)</f>
        <v>2002000</v>
      </c>
      <c r="P13" s="12">
        <f t="shared" si="3"/>
        <v>0</v>
      </c>
    </row>
    <row r="14" spans="1:16">
      <c r="A14" s="3">
        <v>12</v>
      </c>
      <c r="B14" s="1" t="s">
        <v>49</v>
      </c>
      <c r="C14" s="1" t="s">
        <v>50</v>
      </c>
      <c r="D14" s="1" t="s">
        <v>19</v>
      </c>
      <c r="E14" s="1" t="s">
        <v>51</v>
      </c>
      <c r="F14" s="4">
        <v>4108000</v>
      </c>
      <c r="G14" s="4"/>
      <c r="H14" s="4">
        <f t="shared" si="0"/>
        <v>4108000</v>
      </c>
      <c r="I14" s="4">
        <f t="shared" si="1"/>
        <v>4108000</v>
      </c>
      <c r="J14" s="4"/>
      <c r="K14" s="4"/>
      <c r="L14" s="4"/>
      <c r="M14" s="4">
        <f t="shared" si="2"/>
        <v>4108000</v>
      </c>
      <c r="N14" s="10"/>
      <c r="O14">
        <f>_xlfn.XLOOKUP(E14,'[1]Tổng hợp'!$F$4:$F$83,'[1]Tổng hợp'!$EG$4:$EG$83,,0)</f>
        <v>4108000</v>
      </c>
      <c r="P14" s="12">
        <f t="shared" si="3"/>
        <v>0</v>
      </c>
    </row>
    <row r="15" spans="1:16">
      <c r="A15" s="3">
        <v>13</v>
      </c>
      <c r="B15" s="1" t="s">
        <v>52</v>
      </c>
      <c r="C15" s="1" t="s">
        <v>50</v>
      </c>
      <c r="D15" s="1" t="s">
        <v>19</v>
      </c>
      <c r="E15" s="1" t="s">
        <v>53</v>
      </c>
      <c r="F15" s="4">
        <v>3087000</v>
      </c>
      <c r="G15" s="4"/>
      <c r="H15" s="4">
        <f t="shared" si="0"/>
        <v>3087000</v>
      </c>
      <c r="I15" s="4">
        <f t="shared" si="1"/>
        <v>3087000</v>
      </c>
      <c r="J15" s="4"/>
      <c r="K15" s="4"/>
      <c r="L15" s="4"/>
      <c r="M15" s="4">
        <f t="shared" si="2"/>
        <v>3087000</v>
      </c>
      <c r="N15" s="11"/>
      <c r="O15">
        <f>_xlfn.XLOOKUP(E15,'[1]Tổng hợp'!$F$4:$F$83,'[1]Tổng hợp'!$EG$4:$EG$83,,0)</f>
        <v>3087000</v>
      </c>
      <c r="P15" s="12">
        <f t="shared" si="3"/>
        <v>0</v>
      </c>
    </row>
    <row r="16" spans="1:16">
      <c r="A16" s="3">
        <v>14</v>
      </c>
      <c r="B16" s="1" t="s">
        <v>54</v>
      </c>
      <c r="C16" s="1" t="s">
        <v>55</v>
      </c>
      <c r="D16" s="1" t="s">
        <v>23</v>
      </c>
      <c r="E16" s="1" t="s">
        <v>56</v>
      </c>
      <c r="F16" s="4">
        <v>2326000</v>
      </c>
      <c r="G16" s="4">
        <v>1968000</v>
      </c>
      <c r="H16" s="4">
        <f t="shared" si="0"/>
        <v>4294000</v>
      </c>
      <c r="I16" s="4">
        <f t="shared" si="1"/>
        <v>2148000</v>
      </c>
      <c r="J16" s="4">
        <v>178000</v>
      </c>
      <c r="K16" s="4">
        <v>1968000</v>
      </c>
      <c r="L16" s="4"/>
      <c r="M16" s="4">
        <f t="shared" si="2"/>
        <v>4116000</v>
      </c>
      <c r="N16" s="11" t="s">
        <v>216</v>
      </c>
      <c r="O16">
        <f>_xlfn.XLOOKUP(E16,'[1]Tổng hợp'!$F$4:$F$83,'[1]Tổng hợp'!$EG$4:$EG$83,,0)</f>
        <v>2148000</v>
      </c>
      <c r="P16" s="12">
        <f t="shared" si="3"/>
        <v>0</v>
      </c>
    </row>
    <row r="17" spans="1:16">
      <c r="A17" s="3">
        <v>15</v>
      </c>
      <c r="B17" s="1" t="s">
        <v>57</v>
      </c>
      <c r="C17" s="1" t="s">
        <v>58</v>
      </c>
      <c r="D17" s="1" t="s">
        <v>19</v>
      </c>
      <c r="E17" s="1" t="s">
        <v>59</v>
      </c>
      <c r="F17" s="4">
        <v>3494000</v>
      </c>
      <c r="G17" s="4"/>
      <c r="H17" s="4">
        <f t="shared" si="0"/>
        <v>3494000</v>
      </c>
      <c r="I17" s="4">
        <f t="shared" si="1"/>
        <v>3494000</v>
      </c>
      <c r="J17" s="4"/>
      <c r="K17" s="4"/>
      <c r="L17" s="4"/>
      <c r="M17" s="4">
        <f t="shared" si="2"/>
        <v>3494000</v>
      </c>
      <c r="N17" s="10"/>
      <c r="O17">
        <f>_xlfn.XLOOKUP(E17,'[1]Tổng hợp'!$F$4:$F$83,'[1]Tổng hợp'!$EG$4:$EG$83,,0)</f>
        <v>3494000</v>
      </c>
      <c r="P17" s="12">
        <f t="shared" si="3"/>
        <v>0</v>
      </c>
    </row>
    <row r="18" spans="1:16">
      <c r="A18" s="3">
        <v>16</v>
      </c>
      <c r="B18" s="1" t="s">
        <v>60</v>
      </c>
      <c r="C18" s="1" t="s">
        <v>61</v>
      </c>
      <c r="D18" s="1" t="s">
        <v>19</v>
      </c>
      <c r="E18" s="1" t="s">
        <v>62</v>
      </c>
      <c r="F18" s="4">
        <v>2998000</v>
      </c>
      <c r="G18" s="4"/>
      <c r="H18" s="4">
        <f t="shared" si="0"/>
        <v>2998000</v>
      </c>
      <c r="I18" s="4">
        <f t="shared" si="1"/>
        <v>2998000</v>
      </c>
      <c r="J18" s="4"/>
      <c r="K18" s="4"/>
      <c r="L18" s="4"/>
      <c r="M18" s="4">
        <f t="shared" si="2"/>
        <v>2998000</v>
      </c>
      <c r="N18" s="10"/>
      <c r="O18">
        <f>_xlfn.XLOOKUP(E18,'[1]Tổng hợp'!$F$4:$F$83,'[1]Tổng hợp'!$EG$4:$EG$83,,0)</f>
        <v>2998000</v>
      </c>
      <c r="P18" s="12">
        <f t="shared" si="3"/>
        <v>0</v>
      </c>
    </row>
    <row r="19" spans="1:16">
      <c r="A19" s="3">
        <v>17</v>
      </c>
      <c r="B19" s="1" t="s">
        <v>63</v>
      </c>
      <c r="C19" s="1" t="s">
        <v>55</v>
      </c>
      <c r="D19" s="1" t="s">
        <v>23</v>
      </c>
      <c r="E19" s="1" t="s">
        <v>64</v>
      </c>
      <c r="F19" s="4">
        <v>1566000</v>
      </c>
      <c r="G19" s="4"/>
      <c r="H19" s="4">
        <f t="shared" si="0"/>
        <v>1566000</v>
      </c>
      <c r="I19" s="4">
        <f t="shared" si="1"/>
        <v>1566000</v>
      </c>
      <c r="J19" s="4"/>
      <c r="K19" s="4"/>
      <c r="L19" s="4"/>
      <c r="M19" s="4">
        <f t="shared" si="2"/>
        <v>1566000</v>
      </c>
      <c r="N19" s="10"/>
      <c r="O19">
        <f>_xlfn.XLOOKUP(E19,'[1]Tổng hợp'!$F$4:$F$83,'[1]Tổng hợp'!$EG$4:$EG$83,,0)</f>
        <v>1566000</v>
      </c>
      <c r="P19" s="12">
        <f t="shared" si="3"/>
        <v>0</v>
      </c>
    </row>
    <row r="20" spans="1:16">
      <c r="A20" s="3">
        <v>18</v>
      </c>
      <c r="B20" s="1" t="s">
        <v>65</v>
      </c>
      <c r="C20" s="1" t="s">
        <v>34</v>
      </c>
      <c r="D20" s="1" t="s">
        <v>23</v>
      </c>
      <c r="E20" s="1" t="s">
        <v>66</v>
      </c>
      <c r="F20" s="4">
        <v>1696000</v>
      </c>
      <c r="G20" s="4"/>
      <c r="H20" s="4">
        <f t="shared" si="0"/>
        <v>1696000</v>
      </c>
      <c r="I20" s="4">
        <f t="shared" si="1"/>
        <v>1696000</v>
      </c>
      <c r="J20" s="4"/>
      <c r="K20" s="4"/>
      <c r="L20" s="4"/>
      <c r="M20" s="4">
        <f t="shared" si="2"/>
        <v>1696000</v>
      </c>
      <c r="N20" s="10"/>
      <c r="O20">
        <f>_xlfn.XLOOKUP(E20,'[1]Tổng hợp'!$F$4:$F$83,'[1]Tổng hợp'!$EG$4:$EG$83,,0)</f>
        <v>1696000</v>
      </c>
      <c r="P20" s="12">
        <f t="shared" si="3"/>
        <v>0</v>
      </c>
    </row>
    <row r="21" spans="1:16">
      <c r="A21" s="3">
        <v>19</v>
      </c>
      <c r="B21" s="1" t="s">
        <v>67</v>
      </c>
      <c r="C21" s="1" t="s">
        <v>58</v>
      </c>
      <c r="D21" s="1" t="s">
        <v>23</v>
      </c>
      <c r="E21" s="1" t="s">
        <v>68</v>
      </c>
      <c r="F21" s="4">
        <v>2003000</v>
      </c>
      <c r="G21" s="4"/>
      <c r="H21" s="4">
        <f t="shared" si="0"/>
        <v>2003000</v>
      </c>
      <c r="I21" s="4">
        <f t="shared" si="1"/>
        <v>2003000</v>
      </c>
      <c r="J21" s="4"/>
      <c r="K21" s="4"/>
      <c r="L21" s="4"/>
      <c r="M21" s="4">
        <f t="shared" si="2"/>
        <v>2003000</v>
      </c>
      <c r="N21" s="10"/>
      <c r="O21">
        <f>_xlfn.XLOOKUP(E21,'[1]Tổng hợp'!$F$4:$F$83,'[1]Tổng hợp'!$EG$4:$EG$83,,0)</f>
        <v>2003000</v>
      </c>
      <c r="P21" s="12">
        <f t="shared" si="3"/>
        <v>0</v>
      </c>
    </row>
    <row r="22" spans="1:16">
      <c r="A22" s="3">
        <v>20</v>
      </c>
      <c r="B22" s="1" t="s">
        <v>69</v>
      </c>
      <c r="C22" s="1" t="s">
        <v>47</v>
      </c>
      <c r="D22" s="1" t="s">
        <v>19</v>
      </c>
      <c r="E22" s="1" t="s">
        <v>70</v>
      </c>
      <c r="F22" s="4">
        <v>4069000</v>
      </c>
      <c r="G22" s="4"/>
      <c r="H22" s="4">
        <f t="shared" si="0"/>
        <v>4069000</v>
      </c>
      <c r="I22" s="4">
        <f t="shared" si="1"/>
        <v>4069000</v>
      </c>
      <c r="J22" s="4"/>
      <c r="K22" s="4"/>
      <c r="L22" s="4"/>
      <c r="M22" s="4">
        <f t="shared" si="2"/>
        <v>4069000</v>
      </c>
      <c r="N22" s="10"/>
      <c r="O22">
        <f>_xlfn.XLOOKUP(E22,'[1]Tổng hợp'!$F$4:$F$83,'[1]Tổng hợp'!$EG$4:$EG$83,,0)</f>
        <v>4069000</v>
      </c>
      <c r="P22" s="12">
        <f t="shared" si="3"/>
        <v>0</v>
      </c>
    </row>
    <row r="23" spans="1:16">
      <c r="A23" s="3">
        <v>21</v>
      </c>
      <c r="B23" s="1" t="s">
        <v>71</v>
      </c>
      <c r="C23" s="1" t="s">
        <v>39</v>
      </c>
      <c r="D23" s="1" t="s">
        <v>23</v>
      </c>
      <c r="E23" s="1" t="s">
        <v>72</v>
      </c>
      <c r="F23" s="4">
        <v>1943000</v>
      </c>
      <c r="G23" s="4"/>
      <c r="H23" s="4">
        <f t="shared" si="0"/>
        <v>1943000</v>
      </c>
      <c r="I23" s="4">
        <f t="shared" si="1"/>
        <v>1943000</v>
      </c>
      <c r="J23" s="4"/>
      <c r="K23" s="4"/>
      <c r="L23" s="4"/>
      <c r="M23" s="4">
        <f t="shared" si="2"/>
        <v>1943000</v>
      </c>
      <c r="N23" s="10"/>
      <c r="O23">
        <f>_xlfn.XLOOKUP(E23,'[1]Tổng hợp'!$F$4:$F$83,'[1]Tổng hợp'!$EG$4:$EG$83,,0)</f>
        <v>1943000</v>
      </c>
      <c r="P23" s="12">
        <f t="shared" si="3"/>
        <v>0</v>
      </c>
    </row>
    <row r="24" spans="1:16">
      <c r="A24" s="3">
        <v>22</v>
      </c>
      <c r="B24" s="1" t="s">
        <v>73</v>
      </c>
      <c r="C24" s="1" t="s">
        <v>74</v>
      </c>
      <c r="D24" s="1" t="s">
        <v>23</v>
      </c>
      <c r="E24" s="1" t="s">
        <v>75</v>
      </c>
      <c r="F24" s="4">
        <v>1982000</v>
      </c>
      <c r="G24" s="4"/>
      <c r="H24" s="4">
        <f t="shared" si="0"/>
        <v>1982000</v>
      </c>
      <c r="I24" s="4">
        <f t="shared" si="1"/>
        <v>1982000</v>
      </c>
      <c r="J24" s="4"/>
      <c r="K24" s="4"/>
      <c r="L24" s="4"/>
      <c r="M24" s="4">
        <f t="shared" si="2"/>
        <v>1982000</v>
      </c>
      <c r="N24" s="10"/>
      <c r="O24">
        <f>_xlfn.XLOOKUP(E24,'[1]Tổng hợp'!$F$4:$F$83,'[1]Tổng hợp'!$EG$4:$EG$83,,0)</f>
        <v>1982000</v>
      </c>
      <c r="P24" s="12">
        <f t="shared" si="3"/>
        <v>0</v>
      </c>
    </row>
    <row r="25" spans="1:16">
      <c r="A25" s="3">
        <v>23</v>
      </c>
      <c r="B25" s="1" t="s">
        <v>76</v>
      </c>
      <c r="C25" s="1" t="s">
        <v>31</v>
      </c>
      <c r="D25" s="1" t="s">
        <v>19</v>
      </c>
      <c r="E25" s="1" t="s">
        <v>77</v>
      </c>
      <c r="F25" s="4">
        <v>6781000</v>
      </c>
      <c r="G25" s="4"/>
      <c r="H25" s="4">
        <f t="shared" si="0"/>
        <v>6781000</v>
      </c>
      <c r="I25" s="4">
        <f t="shared" si="1"/>
        <v>6265000</v>
      </c>
      <c r="J25" s="4">
        <v>516000</v>
      </c>
      <c r="K25" s="4"/>
      <c r="L25" s="4"/>
      <c r="M25" s="4">
        <f t="shared" si="2"/>
        <v>6265000</v>
      </c>
      <c r="N25" s="11" t="s">
        <v>217</v>
      </c>
      <c r="O25">
        <f>_xlfn.XLOOKUP(E25,'[1]Tổng hợp'!$F$4:$F$83,'[1]Tổng hợp'!$EG$4:$EG$83,,0)</f>
        <v>6265000</v>
      </c>
      <c r="P25" s="12">
        <f t="shared" si="3"/>
        <v>0</v>
      </c>
    </row>
    <row r="26" spans="1:16">
      <c r="A26" s="3">
        <v>24</v>
      </c>
      <c r="B26" s="1" t="s">
        <v>78</v>
      </c>
      <c r="C26" s="1" t="s">
        <v>79</v>
      </c>
      <c r="D26" s="1" t="s">
        <v>19</v>
      </c>
      <c r="E26" s="1" t="s">
        <v>80</v>
      </c>
      <c r="F26" s="4">
        <v>3497000</v>
      </c>
      <c r="G26" s="4"/>
      <c r="H26" s="4">
        <f t="shared" si="0"/>
        <v>3497000</v>
      </c>
      <c r="I26" s="4">
        <f t="shared" si="1"/>
        <v>3497000</v>
      </c>
      <c r="J26" s="4"/>
      <c r="K26" s="4"/>
      <c r="L26" s="4"/>
      <c r="M26" s="4">
        <f t="shared" si="2"/>
        <v>3497000</v>
      </c>
      <c r="N26" s="10"/>
      <c r="O26">
        <f>_xlfn.XLOOKUP(E26,'[1]Tổng hợp'!$F$4:$F$83,'[1]Tổng hợp'!$EG$4:$EG$83,,0)</f>
        <v>3497000</v>
      </c>
      <c r="P26" s="12">
        <f t="shared" si="3"/>
        <v>0</v>
      </c>
    </row>
    <row r="27" spans="1:16">
      <c r="A27" s="3">
        <v>25</v>
      </c>
      <c r="B27" s="1" t="s">
        <v>81</v>
      </c>
      <c r="C27" s="1" t="s">
        <v>34</v>
      </c>
      <c r="D27" s="1" t="s">
        <v>19</v>
      </c>
      <c r="E27" s="1" t="s">
        <v>82</v>
      </c>
      <c r="F27" s="4">
        <v>2916000</v>
      </c>
      <c r="G27" s="4"/>
      <c r="H27" s="4">
        <f t="shared" si="0"/>
        <v>2916000</v>
      </c>
      <c r="I27" s="4">
        <f t="shared" si="1"/>
        <v>2916000</v>
      </c>
      <c r="J27" s="4"/>
      <c r="K27" s="4"/>
      <c r="L27" s="4"/>
      <c r="M27" s="4">
        <f t="shared" si="2"/>
        <v>2916000</v>
      </c>
      <c r="N27" s="10"/>
      <c r="O27">
        <f>_xlfn.XLOOKUP(E27,'[1]Tổng hợp'!$F$4:$F$83,'[1]Tổng hợp'!$EG$4:$EG$83,,0)</f>
        <v>2916000</v>
      </c>
      <c r="P27" s="12">
        <f t="shared" si="3"/>
        <v>0</v>
      </c>
    </row>
    <row r="28" spans="1:16">
      <c r="A28" s="3">
        <v>26</v>
      </c>
      <c r="B28" s="1" t="s">
        <v>83</v>
      </c>
      <c r="C28" s="1" t="s">
        <v>50</v>
      </c>
      <c r="D28" s="1" t="s">
        <v>19</v>
      </c>
      <c r="E28" s="1" t="s">
        <v>84</v>
      </c>
      <c r="F28" s="4">
        <v>3356000</v>
      </c>
      <c r="G28" s="4"/>
      <c r="H28" s="4">
        <f t="shared" si="0"/>
        <v>3356000</v>
      </c>
      <c r="I28" s="4">
        <f t="shared" si="1"/>
        <v>3356000</v>
      </c>
      <c r="J28" s="4"/>
      <c r="K28" s="4"/>
      <c r="L28" s="4"/>
      <c r="M28" s="4">
        <f t="shared" si="2"/>
        <v>3356000</v>
      </c>
      <c r="N28" s="10"/>
      <c r="O28">
        <f>_xlfn.XLOOKUP(E28,'[1]Tổng hợp'!$F$4:$F$83,'[1]Tổng hợp'!$EG$4:$EG$83,,0)</f>
        <v>3356000</v>
      </c>
      <c r="P28" s="12">
        <f t="shared" si="3"/>
        <v>0</v>
      </c>
    </row>
    <row r="29" spans="1:16">
      <c r="A29" s="3">
        <v>27</v>
      </c>
      <c r="B29" s="1" t="s">
        <v>85</v>
      </c>
      <c r="C29" s="1" t="s">
        <v>86</v>
      </c>
      <c r="D29" s="1" t="s">
        <v>19</v>
      </c>
      <c r="E29" s="1" t="s">
        <v>87</v>
      </c>
      <c r="F29" s="4">
        <v>3089000</v>
      </c>
      <c r="G29" s="4">
        <v>1968000</v>
      </c>
      <c r="H29" s="4">
        <f t="shared" si="0"/>
        <v>5057000</v>
      </c>
      <c r="I29" s="4">
        <f t="shared" si="1"/>
        <v>3089000</v>
      </c>
      <c r="J29" s="4"/>
      <c r="K29" s="4">
        <v>1968000</v>
      </c>
      <c r="L29" s="4"/>
      <c r="M29" s="4">
        <f t="shared" si="2"/>
        <v>5057000</v>
      </c>
      <c r="N29" s="10"/>
      <c r="O29">
        <f>_xlfn.XLOOKUP(E29,'[1]Tổng hợp'!$F$4:$F$83,'[1]Tổng hợp'!$EG$4:$EG$83,,0)</f>
        <v>3089000</v>
      </c>
      <c r="P29" s="12">
        <f t="shared" si="3"/>
        <v>0</v>
      </c>
    </row>
    <row r="30" spans="1:16">
      <c r="A30" s="3">
        <v>28</v>
      </c>
      <c r="B30" s="1" t="s">
        <v>88</v>
      </c>
      <c r="C30" s="1" t="s">
        <v>89</v>
      </c>
      <c r="D30" s="1" t="s">
        <v>23</v>
      </c>
      <c r="E30" s="1" t="s">
        <v>90</v>
      </c>
      <c r="F30" s="4">
        <v>6175000</v>
      </c>
      <c r="G30" s="4"/>
      <c r="H30" s="4">
        <f t="shared" si="0"/>
        <v>6175000</v>
      </c>
      <c r="I30" s="4">
        <f t="shared" si="1"/>
        <v>6175000</v>
      </c>
      <c r="J30" s="4"/>
      <c r="K30" s="4"/>
      <c r="L30" s="4"/>
      <c r="M30" s="4">
        <f t="shared" si="2"/>
        <v>6175000</v>
      </c>
      <c r="N30" s="10"/>
      <c r="O30">
        <f>_xlfn.XLOOKUP(E30,'[1]Tổng hợp'!$F$4:$F$83,'[1]Tổng hợp'!$EG$4:$EG$83,,0)</f>
        <v>6175000</v>
      </c>
      <c r="P30" s="12">
        <f t="shared" si="3"/>
        <v>0</v>
      </c>
    </row>
    <row r="31" spans="1:16">
      <c r="A31" s="3">
        <v>29</v>
      </c>
      <c r="B31" s="1" t="s">
        <v>91</v>
      </c>
      <c r="C31" s="1" t="s">
        <v>47</v>
      </c>
      <c r="D31" s="1" t="s">
        <v>19</v>
      </c>
      <c r="E31" s="1" t="s">
        <v>92</v>
      </c>
      <c r="F31" s="4">
        <v>3419000</v>
      </c>
      <c r="G31" s="4"/>
      <c r="H31" s="4">
        <f t="shared" si="0"/>
        <v>3419000</v>
      </c>
      <c r="I31" s="4">
        <f t="shared" si="1"/>
        <v>3419000</v>
      </c>
      <c r="J31" s="4"/>
      <c r="K31" s="4"/>
      <c r="L31" s="4"/>
      <c r="M31" s="4">
        <f t="shared" si="2"/>
        <v>3419000</v>
      </c>
      <c r="N31" s="10"/>
      <c r="O31">
        <f>_xlfn.XLOOKUP(E31,'[1]Tổng hợp'!$F$4:$F$83,'[1]Tổng hợp'!$EG$4:$EG$83,,0)</f>
        <v>3419000</v>
      </c>
      <c r="P31" s="12">
        <f t="shared" si="3"/>
        <v>0</v>
      </c>
    </row>
    <row r="32" spans="1:16">
      <c r="A32" s="3">
        <v>30</v>
      </c>
      <c r="B32" s="1" t="s">
        <v>93</v>
      </c>
      <c r="C32" s="1" t="s">
        <v>94</v>
      </c>
      <c r="D32" s="1" t="s">
        <v>19</v>
      </c>
      <c r="E32" s="1" t="s">
        <v>95</v>
      </c>
      <c r="F32" s="4">
        <v>2873000</v>
      </c>
      <c r="G32" s="4"/>
      <c r="H32" s="4">
        <f t="shared" si="0"/>
        <v>2873000</v>
      </c>
      <c r="I32" s="4">
        <f t="shared" si="1"/>
        <v>2873000</v>
      </c>
      <c r="J32" s="4"/>
      <c r="K32" s="4"/>
      <c r="L32" s="4"/>
      <c r="M32" s="4">
        <f t="shared" si="2"/>
        <v>2873000</v>
      </c>
      <c r="N32" s="10"/>
      <c r="O32">
        <f>_xlfn.XLOOKUP(E32,'[1]Tổng hợp'!$F$4:$F$83,'[1]Tổng hợp'!$EG$4:$EG$83,,0)</f>
        <v>2873000</v>
      </c>
      <c r="P32" s="12">
        <f t="shared" si="3"/>
        <v>0</v>
      </c>
    </row>
    <row r="33" spans="1:16">
      <c r="A33" s="3">
        <v>31</v>
      </c>
      <c r="B33" s="1" t="s">
        <v>96</v>
      </c>
      <c r="C33" s="1" t="s">
        <v>94</v>
      </c>
      <c r="D33" s="1" t="s">
        <v>23</v>
      </c>
      <c r="E33" s="1" t="s">
        <v>97</v>
      </c>
      <c r="F33" s="4">
        <v>2153000</v>
      </c>
      <c r="G33" s="4"/>
      <c r="H33" s="4">
        <f t="shared" si="0"/>
        <v>2153000</v>
      </c>
      <c r="I33" s="4">
        <f t="shared" si="1"/>
        <v>2153000</v>
      </c>
      <c r="J33" s="4"/>
      <c r="K33" s="4"/>
      <c r="L33" s="4"/>
      <c r="M33" s="4">
        <f t="shared" si="2"/>
        <v>2153000</v>
      </c>
      <c r="N33" s="10"/>
      <c r="O33">
        <f>_xlfn.XLOOKUP(E33,'[1]Tổng hợp'!$F$4:$F$83,'[1]Tổng hợp'!$EG$4:$EG$83,,0)</f>
        <v>2153000</v>
      </c>
      <c r="P33" s="12">
        <f t="shared" si="3"/>
        <v>0</v>
      </c>
    </row>
    <row r="34" spans="1:16">
      <c r="A34" s="3">
        <v>32</v>
      </c>
      <c r="B34" s="1" t="s">
        <v>98</v>
      </c>
      <c r="C34" s="1" t="s">
        <v>99</v>
      </c>
      <c r="D34" s="1" t="s">
        <v>19</v>
      </c>
      <c r="E34" s="1" t="s">
        <v>100</v>
      </c>
      <c r="F34" s="4">
        <v>2785000</v>
      </c>
      <c r="G34" s="4"/>
      <c r="H34" s="4">
        <f t="shared" si="0"/>
        <v>2785000</v>
      </c>
      <c r="I34" s="4">
        <f t="shared" si="1"/>
        <v>2785000</v>
      </c>
      <c r="J34" s="4"/>
      <c r="K34" s="4"/>
      <c r="L34" s="4"/>
      <c r="M34" s="4">
        <f t="shared" si="2"/>
        <v>2785000</v>
      </c>
      <c r="N34" s="11"/>
      <c r="O34">
        <f>_xlfn.XLOOKUP(E34,'[1]Tổng hợp'!$F$4:$F$83,'[1]Tổng hợp'!$EG$4:$EG$83,,0)</f>
        <v>2785000</v>
      </c>
      <c r="P34" s="12">
        <f t="shared" si="3"/>
        <v>0</v>
      </c>
    </row>
    <row r="35" spans="1:16">
      <c r="A35" s="3">
        <v>33</v>
      </c>
      <c r="B35" s="1" t="s">
        <v>101</v>
      </c>
      <c r="C35" s="1" t="s">
        <v>50</v>
      </c>
      <c r="D35" s="1" t="s">
        <v>23</v>
      </c>
      <c r="E35" s="1" t="s">
        <v>102</v>
      </c>
      <c r="F35" s="4">
        <v>2910000</v>
      </c>
      <c r="G35" s="4"/>
      <c r="H35" s="4">
        <f t="shared" si="0"/>
        <v>2910000</v>
      </c>
      <c r="I35" s="4">
        <f t="shared" si="1"/>
        <v>2910000</v>
      </c>
      <c r="J35" s="4"/>
      <c r="K35" s="4"/>
      <c r="L35" s="4"/>
      <c r="M35" s="4">
        <f t="shared" si="2"/>
        <v>2910000</v>
      </c>
      <c r="N35" s="10"/>
      <c r="O35">
        <f>_xlfn.XLOOKUP(E35,'[1]Tổng hợp'!$F$4:$F$83,'[1]Tổng hợp'!$EG$4:$EG$83,,0)</f>
        <v>2910000</v>
      </c>
      <c r="P35" s="12">
        <f t="shared" si="3"/>
        <v>0</v>
      </c>
    </row>
    <row r="36" spans="1:16">
      <c r="A36" s="3">
        <v>34</v>
      </c>
      <c r="B36" s="1" t="s">
        <v>103</v>
      </c>
      <c r="C36" s="1" t="s">
        <v>31</v>
      </c>
      <c r="D36" s="1" t="s">
        <v>19</v>
      </c>
      <c r="E36" s="1" t="s">
        <v>104</v>
      </c>
      <c r="F36" s="4">
        <v>4765000</v>
      </c>
      <c r="G36" s="4"/>
      <c r="H36" s="4">
        <f t="shared" si="0"/>
        <v>4765000</v>
      </c>
      <c r="I36" s="4">
        <f t="shared" si="1"/>
        <v>4765000</v>
      </c>
      <c r="J36" s="4"/>
      <c r="K36" s="4"/>
      <c r="L36" s="4"/>
      <c r="M36" s="4">
        <f t="shared" si="2"/>
        <v>4765000</v>
      </c>
      <c r="N36" s="10"/>
      <c r="O36">
        <f>_xlfn.XLOOKUP(E36,'[1]Tổng hợp'!$F$4:$F$83,'[1]Tổng hợp'!$EG$4:$EG$83,,0)</f>
        <v>4765000</v>
      </c>
      <c r="P36" s="12">
        <f t="shared" si="3"/>
        <v>0</v>
      </c>
    </row>
    <row r="37" spans="1:16">
      <c r="A37" s="3">
        <v>35</v>
      </c>
      <c r="B37" s="1" t="s">
        <v>105</v>
      </c>
      <c r="C37" s="1" t="s">
        <v>106</v>
      </c>
      <c r="D37" s="1" t="s">
        <v>23</v>
      </c>
      <c r="E37" s="1" t="s">
        <v>107</v>
      </c>
      <c r="F37" s="4">
        <v>3085000</v>
      </c>
      <c r="G37" s="4"/>
      <c r="H37" s="4">
        <f t="shared" si="0"/>
        <v>3085000</v>
      </c>
      <c r="I37" s="4">
        <f t="shared" si="1"/>
        <v>3085000</v>
      </c>
      <c r="J37" s="4"/>
      <c r="K37" s="4"/>
      <c r="L37" s="4"/>
      <c r="M37" s="4">
        <f t="shared" si="2"/>
        <v>3085000</v>
      </c>
      <c r="N37" s="10"/>
      <c r="O37">
        <f>_xlfn.XLOOKUP(E37,'[1]Tổng hợp'!$F$4:$F$83,'[1]Tổng hợp'!$EG$4:$EG$83,,0)</f>
        <v>3085000</v>
      </c>
      <c r="P37" s="12">
        <f t="shared" si="3"/>
        <v>0</v>
      </c>
    </row>
    <row r="38" spans="1:16">
      <c r="A38" s="3">
        <v>36</v>
      </c>
      <c r="B38" s="1" t="s">
        <v>108</v>
      </c>
      <c r="C38" s="1" t="s">
        <v>94</v>
      </c>
      <c r="D38" s="1" t="s">
        <v>23</v>
      </c>
      <c r="E38" s="1" t="s">
        <v>109</v>
      </c>
      <c r="F38" s="4">
        <v>3455000</v>
      </c>
      <c r="G38" s="4"/>
      <c r="H38" s="4">
        <f t="shared" si="0"/>
        <v>3455000</v>
      </c>
      <c r="I38" s="4">
        <f t="shared" si="1"/>
        <v>3455000</v>
      </c>
      <c r="J38" s="4"/>
      <c r="K38" s="4"/>
      <c r="L38" s="4"/>
      <c r="M38" s="4">
        <f t="shared" si="2"/>
        <v>3455000</v>
      </c>
      <c r="N38" s="10"/>
      <c r="O38">
        <f>_xlfn.XLOOKUP(E38,'[1]Tổng hợp'!$F$4:$F$83,'[1]Tổng hợp'!$EG$4:$EG$83,,0)</f>
        <v>3455000</v>
      </c>
      <c r="P38" s="12">
        <f t="shared" si="3"/>
        <v>0</v>
      </c>
    </row>
    <row r="39" spans="1:16">
      <c r="A39" s="3">
        <v>37</v>
      </c>
      <c r="B39" s="1" t="s">
        <v>110</v>
      </c>
      <c r="C39" s="1" t="s">
        <v>99</v>
      </c>
      <c r="D39" s="1" t="s">
        <v>19</v>
      </c>
      <c r="E39" s="1" t="s">
        <v>111</v>
      </c>
      <c r="F39" s="4">
        <v>3377000</v>
      </c>
      <c r="G39" s="4"/>
      <c r="H39" s="4">
        <f t="shared" si="0"/>
        <v>3377000</v>
      </c>
      <c r="I39" s="4">
        <f t="shared" si="1"/>
        <v>3377000</v>
      </c>
      <c r="J39" s="4"/>
      <c r="K39" s="4"/>
      <c r="L39" s="4"/>
      <c r="M39" s="4">
        <f t="shared" si="2"/>
        <v>3377000</v>
      </c>
      <c r="N39" s="11"/>
      <c r="O39">
        <f>_xlfn.XLOOKUP(E39,'[1]Tổng hợp'!$F$4:$F$83,'[1]Tổng hợp'!$EG$4:$EG$83,,0)</f>
        <v>3377000</v>
      </c>
      <c r="P39" s="12">
        <f t="shared" si="3"/>
        <v>0</v>
      </c>
    </row>
    <row r="40" spans="1:16">
      <c r="A40" s="3">
        <v>38</v>
      </c>
      <c r="B40" s="1" t="s">
        <v>112</v>
      </c>
      <c r="C40" s="1" t="s">
        <v>26</v>
      </c>
      <c r="D40" s="1" t="s">
        <v>19</v>
      </c>
      <c r="E40" s="1" t="s">
        <v>113</v>
      </c>
      <c r="F40" s="4">
        <v>3595000</v>
      </c>
      <c r="G40" s="4"/>
      <c r="H40" s="4">
        <f t="shared" si="0"/>
        <v>3595000</v>
      </c>
      <c r="I40" s="4">
        <f t="shared" si="1"/>
        <v>3595000</v>
      </c>
      <c r="J40" s="4"/>
      <c r="K40" s="4"/>
      <c r="L40" s="4"/>
      <c r="M40" s="4">
        <f t="shared" si="2"/>
        <v>3595000</v>
      </c>
      <c r="N40" s="10"/>
      <c r="O40">
        <f>_xlfn.XLOOKUP(E40,'[1]Tổng hợp'!$F$4:$F$83,'[1]Tổng hợp'!$EG$4:$EG$83,,0)</f>
        <v>3595000</v>
      </c>
      <c r="P40" s="12">
        <f t="shared" si="3"/>
        <v>0</v>
      </c>
    </row>
    <row r="41" spans="1:16" ht="30">
      <c r="A41" s="3">
        <v>39</v>
      </c>
      <c r="B41" s="1" t="s">
        <v>114</v>
      </c>
      <c r="C41" s="1" t="s">
        <v>22</v>
      </c>
      <c r="D41" s="1" t="s">
        <v>19</v>
      </c>
      <c r="E41" s="1" t="s">
        <v>115</v>
      </c>
      <c r="F41" s="4">
        <f>3655000-165000</f>
        <v>3490000</v>
      </c>
      <c r="G41" s="4"/>
      <c r="H41" s="4">
        <f t="shared" si="0"/>
        <v>3490000</v>
      </c>
      <c r="I41" s="4">
        <f t="shared" si="1"/>
        <v>3185000</v>
      </c>
      <c r="J41" s="4">
        <v>305000</v>
      </c>
      <c r="K41" s="4"/>
      <c r="L41" s="4"/>
      <c r="M41" s="4">
        <f t="shared" si="2"/>
        <v>3185000</v>
      </c>
      <c r="N41" s="11" t="s">
        <v>221</v>
      </c>
      <c r="O41">
        <f>_xlfn.XLOOKUP(E41,'[1]Tổng hợp'!$F$4:$F$83,'[1]Tổng hợp'!$EG$4:$EG$83,,0)</f>
        <v>3185000</v>
      </c>
      <c r="P41" s="12">
        <f t="shared" si="3"/>
        <v>0</v>
      </c>
    </row>
    <row r="42" spans="1:16">
      <c r="A42" s="3">
        <v>40</v>
      </c>
      <c r="B42" s="1" t="s">
        <v>116</v>
      </c>
      <c r="C42" s="1" t="s">
        <v>26</v>
      </c>
      <c r="D42" s="1" t="s">
        <v>19</v>
      </c>
      <c r="E42" s="1" t="s">
        <v>117</v>
      </c>
      <c r="F42" s="4">
        <v>3394000</v>
      </c>
      <c r="G42" s="4"/>
      <c r="H42" s="4">
        <f t="shared" si="0"/>
        <v>3394000</v>
      </c>
      <c r="I42" s="4">
        <f t="shared" si="1"/>
        <v>3344000</v>
      </c>
      <c r="J42" s="4">
        <v>50000</v>
      </c>
      <c r="K42" s="4"/>
      <c r="L42" s="4"/>
      <c r="M42" s="4">
        <f t="shared" si="2"/>
        <v>3344000</v>
      </c>
      <c r="N42" s="11" t="s">
        <v>218</v>
      </c>
      <c r="O42">
        <f>_xlfn.XLOOKUP(E42,'[1]Tổng hợp'!$F$4:$F$83,'[1]Tổng hợp'!$EG$4:$EG$83,,0)</f>
        <v>3344000</v>
      </c>
      <c r="P42" s="12">
        <f t="shared" si="3"/>
        <v>0</v>
      </c>
    </row>
    <row r="43" spans="1:16">
      <c r="A43" s="3">
        <v>41</v>
      </c>
      <c r="B43" s="1" t="s">
        <v>118</v>
      </c>
      <c r="C43" s="1" t="s">
        <v>94</v>
      </c>
      <c r="D43" s="1" t="s">
        <v>19</v>
      </c>
      <c r="E43" s="1" t="s">
        <v>119</v>
      </c>
      <c r="F43" s="4">
        <v>3602000</v>
      </c>
      <c r="G43" s="4"/>
      <c r="H43" s="4">
        <f t="shared" si="0"/>
        <v>3602000</v>
      </c>
      <c r="I43" s="4">
        <f t="shared" si="1"/>
        <v>3602000</v>
      </c>
      <c r="J43" s="4"/>
      <c r="K43" s="4"/>
      <c r="L43" s="4"/>
      <c r="M43" s="4">
        <f t="shared" si="2"/>
        <v>3602000</v>
      </c>
      <c r="N43" s="10"/>
      <c r="O43">
        <f>_xlfn.XLOOKUP(E43,'[1]Tổng hợp'!$F$4:$F$83,'[1]Tổng hợp'!$EG$4:$EG$83,,0)</f>
        <v>3602000</v>
      </c>
      <c r="P43" s="12">
        <f t="shared" si="3"/>
        <v>0</v>
      </c>
    </row>
    <row r="44" spans="1:16">
      <c r="A44" s="3">
        <v>42</v>
      </c>
      <c r="B44" s="1" t="s">
        <v>120</v>
      </c>
      <c r="C44" s="1" t="s">
        <v>74</v>
      </c>
      <c r="D44" s="1" t="s">
        <v>23</v>
      </c>
      <c r="E44" s="1" t="s">
        <v>121</v>
      </c>
      <c r="F44" s="4">
        <v>1884000</v>
      </c>
      <c r="G44" s="4"/>
      <c r="H44" s="4">
        <f t="shared" si="0"/>
        <v>1884000</v>
      </c>
      <c r="I44" s="4">
        <f t="shared" si="1"/>
        <v>1884000</v>
      </c>
      <c r="J44" s="4"/>
      <c r="K44" s="4"/>
      <c r="L44" s="4"/>
      <c r="M44" s="4">
        <f t="shared" si="2"/>
        <v>1884000</v>
      </c>
      <c r="N44" s="10"/>
      <c r="O44">
        <f>_xlfn.XLOOKUP(E44,'[1]Tổng hợp'!$F$4:$F$83,'[1]Tổng hợp'!$EG$4:$EG$83,,0)</f>
        <v>1884000</v>
      </c>
      <c r="P44" s="12">
        <f t="shared" si="3"/>
        <v>0</v>
      </c>
    </row>
    <row r="45" spans="1:16">
      <c r="A45" s="3">
        <v>43</v>
      </c>
      <c r="B45" s="1" t="s">
        <v>122</v>
      </c>
      <c r="C45" s="1" t="s">
        <v>123</v>
      </c>
      <c r="D45" s="1" t="s">
        <v>19</v>
      </c>
      <c r="E45" s="1" t="s">
        <v>124</v>
      </c>
      <c r="F45" s="4">
        <v>3622000</v>
      </c>
      <c r="G45" s="4"/>
      <c r="H45" s="4">
        <f t="shared" si="0"/>
        <v>3622000</v>
      </c>
      <c r="I45" s="4">
        <f t="shared" si="1"/>
        <v>3622000</v>
      </c>
      <c r="J45" s="4"/>
      <c r="K45" s="4"/>
      <c r="L45" s="4"/>
      <c r="M45" s="4">
        <f t="shared" si="2"/>
        <v>3622000</v>
      </c>
      <c r="N45" s="10"/>
      <c r="O45">
        <f>_xlfn.XLOOKUP(E45,'[1]Tổng hợp'!$F$4:$F$83,'[1]Tổng hợp'!$EG$4:$EG$83,,0)</f>
        <v>3622000</v>
      </c>
      <c r="P45" s="12">
        <f t="shared" si="3"/>
        <v>0</v>
      </c>
    </row>
    <row r="46" spans="1:16">
      <c r="A46" s="3">
        <v>44</v>
      </c>
      <c r="B46" s="1" t="s">
        <v>125</v>
      </c>
      <c r="C46" s="1" t="s">
        <v>126</v>
      </c>
      <c r="D46" s="1" t="s">
        <v>19</v>
      </c>
      <c r="E46" s="1" t="s">
        <v>127</v>
      </c>
      <c r="F46" s="4">
        <v>3254000</v>
      </c>
      <c r="G46" s="4"/>
      <c r="H46" s="4">
        <f t="shared" si="0"/>
        <v>3254000</v>
      </c>
      <c r="I46" s="4">
        <f t="shared" si="1"/>
        <v>3254000</v>
      </c>
      <c r="J46" s="4"/>
      <c r="K46" s="4"/>
      <c r="L46" s="4"/>
      <c r="M46" s="4">
        <f t="shared" si="2"/>
        <v>3254000</v>
      </c>
      <c r="N46" s="10"/>
      <c r="O46">
        <f>_xlfn.XLOOKUP(E46,'[1]Tổng hợp'!$F$4:$F$83,'[1]Tổng hợp'!$EG$4:$EG$83,,0)</f>
        <v>3254000</v>
      </c>
      <c r="P46" s="12">
        <f t="shared" si="3"/>
        <v>0</v>
      </c>
    </row>
    <row r="47" spans="1:16" ht="30">
      <c r="A47" s="3">
        <v>45</v>
      </c>
      <c r="B47" s="1" t="s">
        <v>128</v>
      </c>
      <c r="C47" s="1" t="s">
        <v>129</v>
      </c>
      <c r="D47" s="1" t="s">
        <v>19</v>
      </c>
      <c r="E47" s="1" t="s">
        <v>130</v>
      </c>
      <c r="F47" s="4">
        <v>3245000</v>
      </c>
      <c r="G47" s="4"/>
      <c r="H47" s="4">
        <f t="shared" si="0"/>
        <v>3245000</v>
      </c>
      <c r="I47" s="4">
        <f t="shared" si="1"/>
        <v>2956000</v>
      </c>
      <c r="J47" s="4">
        <v>289000</v>
      </c>
      <c r="K47" s="4"/>
      <c r="L47" s="4"/>
      <c r="M47" s="4">
        <f t="shared" si="2"/>
        <v>2956000</v>
      </c>
      <c r="N47" s="11" t="s">
        <v>219</v>
      </c>
      <c r="O47">
        <f>_xlfn.XLOOKUP(E47,'[1]Tổng hợp'!$F$4:$F$83,'[1]Tổng hợp'!$EG$4:$EG$83,,0)</f>
        <v>2956000</v>
      </c>
      <c r="P47" s="12">
        <f t="shared" si="3"/>
        <v>0</v>
      </c>
    </row>
    <row r="48" spans="1:16">
      <c r="A48" s="3">
        <v>46</v>
      </c>
      <c r="B48" s="1" t="s">
        <v>131</v>
      </c>
      <c r="C48" s="1" t="s">
        <v>79</v>
      </c>
      <c r="D48" s="1" t="s">
        <v>19</v>
      </c>
      <c r="E48" s="1" t="s">
        <v>132</v>
      </c>
      <c r="F48" s="4">
        <v>3946000</v>
      </c>
      <c r="G48" s="4"/>
      <c r="H48" s="4">
        <f t="shared" si="0"/>
        <v>3946000</v>
      </c>
      <c r="I48" s="4">
        <f t="shared" si="1"/>
        <v>3946000</v>
      </c>
      <c r="J48" s="4"/>
      <c r="K48" s="4"/>
      <c r="L48" s="4"/>
      <c r="M48" s="4">
        <f t="shared" si="2"/>
        <v>3946000</v>
      </c>
      <c r="N48" s="10"/>
      <c r="O48">
        <f>_xlfn.XLOOKUP(E48,'[1]Tổng hợp'!$F$4:$F$83,'[1]Tổng hợp'!$EG$4:$EG$83,,0)</f>
        <v>3946000</v>
      </c>
      <c r="P48" s="12">
        <f t="shared" si="3"/>
        <v>0</v>
      </c>
    </row>
    <row r="49" spans="1:16">
      <c r="A49" s="3">
        <v>47</v>
      </c>
      <c r="B49" s="1" t="s">
        <v>133</v>
      </c>
      <c r="C49" s="1" t="s">
        <v>50</v>
      </c>
      <c r="D49" s="1" t="s">
        <v>19</v>
      </c>
      <c r="E49" s="1" t="s">
        <v>134</v>
      </c>
      <c r="F49" s="4">
        <v>3440000</v>
      </c>
      <c r="G49" s="4"/>
      <c r="H49" s="4">
        <f t="shared" si="0"/>
        <v>3440000</v>
      </c>
      <c r="I49" s="4">
        <f t="shared" si="1"/>
        <v>3440000</v>
      </c>
      <c r="J49" s="4"/>
      <c r="K49" s="4"/>
      <c r="L49" s="4"/>
      <c r="M49" s="4">
        <f t="shared" si="2"/>
        <v>3440000</v>
      </c>
      <c r="N49" s="10"/>
      <c r="O49">
        <f>_xlfn.XLOOKUP(E49,'[1]Tổng hợp'!$F$4:$F$83,'[1]Tổng hợp'!$EG$4:$EG$83,,0)</f>
        <v>3440000</v>
      </c>
      <c r="P49" s="12">
        <f t="shared" si="3"/>
        <v>0</v>
      </c>
    </row>
    <row r="50" spans="1:16">
      <c r="A50" s="3">
        <v>48</v>
      </c>
      <c r="B50" s="1" t="s">
        <v>135</v>
      </c>
      <c r="C50" s="1" t="s">
        <v>136</v>
      </c>
      <c r="D50" s="1" t="s">
        <v>23</v>
      </c>
      <c r="E50" s="1" t="s">
        <v>137</v>
      </c>
      <c r="F50" s="4">
        <v>2300000</v>
      </c>
      <c r="G50" s="4"/>
      <c r="H50" s="4">
        <f t="shared" si="0"/>
        <v>2300000</v>
      </c>
      <c r="I50" s="4">
        <f t="shared" si="1"/>
        <v>2300000</v>
      </c>
      <c r="J50" s="4"/>
      <c r="K50" s="4"/>
      <c r="L50" s="4"/>
      <c r="M50" s="4">
        <f t="shared" si="2"/>
        <v>2300000</v>
      </c>
      <c r="N50" s="10"/>
      <c r="O50">
        <f>_xlfn.XLOOKUP(E50,'[1]Tổng hợp'!$F$4:$F$83,'[1]Tổng hợp'!$EG$4:$EG$83,,0)</f>
        <v>2300000</v>
      </c>
      <c r="P50" s="12">
        <f t="shared" si="3"/>
        <v>0</v>
      </c>
    </row>
    <row r="51" spans="1:16">
      <c r="A51" s="3">
        <v>49</v>
      </c>
      <c r="B51" s="1" t="s">
        <v>138</v>
      </c>
      <c r="C51" s="1" t="s">
        <v>139</v>
      </c>
      <c r="D51" s="1" t="s">
        <v>23</v>
      </c>
      <c r="E51" s="1" t="s">
        <v>140</v>
      </c>
      <c r="F51" s="4">
        <v>2014000</v>
      </c>
      <c r="G51" s="4"/>
      <c r="H51" s="4">
        <f t="shared" si="0"/>
        <v>2014000</v>
      </c>
      <c r="I51" s="4">
        <f t="shared" si="1"/>
        <v>2014000</v>
      </c>
      <c r="J51" s="4"/>
      <c r="K51" s="4"/>
      <c r="L51" s="4"/>
      <c r="M51" s="4">
        <f t="shared" si="2"/>
        <v>2014000</v>
      </c>
      <c r="N51" s="10"/>
      <c r="O51">
        <f>_xlfn.XLOOKUP(E51,'[1]Tổng hợp'!$F$4:$F$83,'[1]Tổng hợp'!$EG$4:$EG$83,,0)</f>
        <v>2014000</v>
      </c>
      <c r="P51" s="12">
        <f t="shared" si="3"/>
        <v>0</v>
      </c>
    </row>
    <row r="52" spans="1:16">
      <c r="A52" s="3">
        <v>50</v>
      </c>
      <c r="B52" s="1" t="s">
        <v>141</v>
      </c>
      <c r="C52" s="1" t="s">
        <v>139</v>
      </c>
      <c r="D52" s="1" t="s">
        <v>23</v>
      </c>
      <c r="E52" s="1" t="s">
        <v>142</v>
      </c>
      <c r="F52" s="4">
        <v>1993000</v>
      </c>
      <c r="G52" s="4"/>
      <c r="H52" s="4">
        <f t="shared" si="0"/>
        <v>1993000</v>
      </c>
      <c r="I52" s="4">
        <f t="shared" si="1"/>
        <v>1993000</v>
      </c>
      <c r="J52" s="4"/>
      <c r="K52" s="4"/>
      <c r="L52" s="4"/>
      <c r="M52" s="4">
        <f t="shared" si="2"/>
        <v>1993000</v>
      </c>
      <c r="N52" s="10"/>
      <c r="O52">
        <f>_xlfn.XLOOKUP(E52,'[1]Tổng hợp'!$F$4:$F$83,'[1]Tổng hợp'!$EG$4:$EG$83,,0)</f>
        <v>1993000</v>
      </c>
      <c r="P52" s="12">
        <f t="shared" si="3"/>
        <v>0</v>
      </c>
    </row>
    <row r="53" spans="1:16">
      <c r="A53" s="3">
        <v>51</v>
      </c>
      <c r="B53" s="1" t="s">
        <v>143</v>
      </c>
      <c r="C53" s="1" t="s">
        <v>79</v>
      </c>
      <c r="D53" s="1" t="s">
        <v>19</v>
      </c>
      <c r="E53" s="1" t="s">
        <v>144</v>
      </c>
      <c r="F53" s="4">
        <v>2833000</v>
      </c>
      <c r="G53" s="4"/>
      <c r="H53" s="4">
        <f t="shared" si="0"/>
        <v>2833000</v>
      </c>
      <c r="I53" s="4">
        <f t="shared" si="1"/>
        <v>2833000</v>
      </c>
      <c r="J53" s="4"/>
      <c r="K53" s="4"/>
      <c r="L53" s="4"/>
      <c r="M53" s="4">
        <f t="shared" si="2"/>
        <v>2833000</v>
      </c>
      <c r="N53" s="10"/>
      <c r="O53">
        <f>_xlfn.XLOOKUP(E53,'[1]Tổng hợp'!$F$4:$F$83,'[1]Tổng hợp'!$EG$4:$EG$83,,0)</f>
        <v>2833000</v>
      </c>
      <c r="P53" s="12">
        <f t="shared" si="3"/>
        <v>0</v>
      </c>
    </row>
    <row r="54" spans="1:16">
      <c r="A54" s="3">
        <v>52</v>
      </c>
      <c r="B54" s="1" t="s">
        <v>145</v>
      </c>
      <c r="C54" s="1" t="s">
        <v>106</v>
      </c>
      <c r="D54" s="1" t="s">
        <v>19</v>
      </c>
      <c r="E54" s="1" t="s">
        <v>146</v>
      </c>
      <c r="F54" s="4">
        <v>2187000</v>
      </c>
      <c r="G54" s="4"/>
      <c r="H54" s="4">
        <f t="shared" si="0"/>
        <v>2187000</v>
      </c>
      <c r="I54" s="4">
        <f t="shared" si="1"/>
        <v>2187000</v>
      </c>
      <c r="J54" s="4"/>
      <c r="K54" s="4"/>
      <c r="L54" s="4"/>
      <c r="M54" s="4">
        <f t="shared" si="2"/>
        <v>2187000</v>
      </c>
      <c r="N54" s="10"/>
      <c r="O54">
        <f>_xlfn.XLOOKUP(E54,'[1]Tổng hợp'!$F$4:$F$83,'[1]Tổng hợp'!$EG$4:$EG$83,,0)</f>
        <v>2187000</v>
      </c>
      <c r="P54" s="12">
        <f t="shared" si="3"/>
        <v>0</v>
      </c>
    </row>
    <row r="55" spans="1:16">
      <c r="A55" s="3">
        <v>53</v>
      </c>
      <c r="B55" s="1" t="s">
        <v>147</v>
      </c>
      <c r="C55" s="1" t="s">
        <v>44</v>
      </c>
      <c r="D55" s="1" t="s">
        <v>19</v>
      </c>
      <c r="E55" s="1" t="s">
        <v>148</v>
      </c>
      <c r="F55" s="4">
        <v>2355000</v>
      </c>
      <c r="G55" s="4"/>
      <c r="H55" s="4">
        <f t="shared" si="0"/>
        <v>2355000</v>
      </c>
      <c r="I55" s="4">
        <f t="shared" si="1"/>
        <v>2355000</v>
      </c>
      <c r="J55" s="4"/>
      <c r="K55" s="4"/>
      <c r="L55" s="4"/>
      <c r="M55" s="4">
        <f t="shared" si="2"/>
        <v>2355000</v>
      </c>
      <c r="N55" s="10"/>
      <c r="O55">
        <f>_xlfn.XLOOKUP(E55,'[1]Tổng hợp'!$F$4:$F$83,'[1]Tổng hợp'!$EG$4:$EG$83,,0)</f>
        <v>2355000</v>
      </c>
      <c r="P55" s="12">
        <f t="shared" si="3"/>
        <v>0</v>
      </c>
    </row>
    <row r="56" spans="1:16" ht="30">
      <c r="A56" s="3">
        <v>54</v>
      </c>
      <c r="B56" s="1" t="s">
        <v>149</v>
      </c>
      <c r="C56" s="1" t="s">
        <v>150</v>
      </c>
      <c r="D56" s="1" t="s">
        <v>19</v>
      </c>
      <c r="E56" s="1" t="s">
        <v>151</v>
      </c>
      <c r="F56" s="4">
        <v>3939000</v>
      </c>
      <c r="G56" s="4"/>
      <c r="H56" s="4">
        <f t="shared" si="0"/>
        <v>3939000</v>
      </c>
      <c r="I56" s="4">
        <f t="shared" si="1"/>
        <v>3489000</v>
      </c>
      <c r="J56" s="4">
        <v>450000</v>
      </c>
      <c r="K56" s="4"/>
      <c r="L56" s="4"/>
      <c r="M56" s="4">
        <f t="shared" si="2"/>
        <v>3489000</v>
      </c>
      <c r="N56" s="11" t="s">
        <v>222</v>
      </c>
      <c r="O56">
        <f>_xlfn.XLOOKUP(E56,'[1]Tổng hợp'!$F$4:$F$83,'[1]Tổng hợp'!$EG$4:$EG$83,,0)</f>
        <v>3489000</v>
      </c>
      <c r="P56" s="12">
        <f t="shared" si="3"/>
        <v>0</v>
      </c>
    </row>
    <row r="57" spans="1:16">
      <c r="A57" s="3">
        <v>55</v>
      </c>
      <c r="B57" s="1" t="s">
        <v>152</v>
      </c>
      <c r="C57" s="1" t="s">
        <v>74</v>
      </c>
      <c r="D57" s="1" t="s">
        <v>19</v>
      </c>
      <c r="E57" s="1" t="s">
        <v>153</v>
      </c>
      <c r="F57" s="4">
        <v>3847000</v>
      </c>
      <c r="G57" s="4"/>
      <c r="H57" s="4">
        <f t="shared" si="0"/>
        <v>3847000</v>
      </c>
      <c r="I57" s="4">
        <f t="shared" si="1"/>
        <v>3669000</v>
      </c>
      <c r="J57" s="4">
        <v>178000</v>
      </c>
      <c r="K57" s="4"/>
      <c r="L57" s="4"/>
      <c r="M57" s="4">
        <f t="shared" si="2"/>
        <v>3669000</v>
      </c>
      <c r="N57" s="11" t="s">
        <v>216</v>
      </c>
      <c r="O57">
        <f>_xlfn.XLOOKUP(E57,'[1]Tổng hợp'!$F$4:$F$83,'[1]Tổng hợp'!$EG$4:$EG$83,,0)</f>
        <v>3669000</v>
      </c>
      <c r="P57" s="12">
        <f t="shared" si="3"/>
        <v>0</v>
      </c>
    </row>
    <row r="58" spans="1:16">
      <c r="A58" s="3">
        <v>56</v>
      </c>
      <c r="B58" s="1" t="s">
        <v>154</v>
      </c>
      <c r="C58" s="1" t="s">
        <v>39</v>
      </c>
      <c r="D58" s="1" t="s">
        <v>23</v>
      </c>
      <c r="E58" s="1" t="s">
        <v>155</v>
      </c>
      <c r="F58" s="4">
        <v>6388000</v>
      </c>
      <c r="G58" s="4"/>
      <c r="H58" s="4">
        <f t="shared" si="0"/>
        <v>6388000</v>
      </c>
      <c r="I58" s="4">
        <f t="shared" si="1"/>
        <v>6388000</v>
      </c>
      <c r="J58" s="4"/>
      <c r="K58" s="4"/>
      <c r="L58" s="4"/>
      <c r="M58" s="4">
        <f t="shared" si="2"/>
        <v>6388000</v>
      </c>
      <c r="N58" s="10"/>
      <c r="O58">
        <f>_xlfn.XLOOKUP(E58,'[1]Tổng hợp'!$F$4:$F$83,'[1]Tổng hợp'!$EG$4:$EG$83,,0)</f>
        <v>6388000</v>
      </c>
      <c r="P58" s="12">
        <f t="shared" si="3"/>
        <v>0</v>
      </c>
    </row>
    <row r="59" spans="1:16">
      <c r="A59" s="3">
        <v>57</v>
      </c>
      <c r="B59" s="1" t="s">
        <v>156</v>
      </c>
      <c r="C59" s="1" t="s">
        <v>58</v>
      </c>
      <c r="D59" s="1" t="s">
        <v>19</v>
      </c>
      <c r="E59" s="1" t="s">
        <v>157</v>
      </c>
      <c r="F59" s="4">
        <v>3600000</v>
      </c>
      <c r="G59" s="4"/>
      <c r="H59" s="4">
        <f t="shared" si="0"/>
        <v>3600000</v>
      </c>
      <c r="I59" s="4">
        <f t="shared" si="1"/>
        <v>3600000</v>
      </c>
      <c r="J59" s="4"/>
      <c r="K59" s="4"/>
      <c r="L59" s="4"/>
      <c r="M59" s="4">
        <f t="shared" si="2"/>
        <v>3600000</v>
      </c>
      <c r="N59" s="11"/>
      <c r="O59">
        <f>_xlfn.XLOOKUP(E59,'[1]Tổng hợp'!$F$4:$F$83,'[1]Tổng hợp'!$EG$4:$EG$83,,0)</f>
        <v>3600000</v>
      </c>
      <c r="P59" s="12">
        <f t="shared" si="3"/>
        <v>0</v>
      </c>
    </row>
    <row r="60" spans="1:16">
      <c r="A60" s="3">
        <v>58</v>
      </c>
      <c r="B60" s="1" t="s">
        <v>158</v>
      </c>
      <c r="C60" s="1" t="s">
        <v>159</v>
      </c>
      <c r="D60" s="1" t="s">
        <v>23</v>
      </c>
      <c r="E60" s="1" t="s">
        <v>160</v>
      </c>
      <c r="F60" s="4">
        <v>2088000</v>
      </c>
      <c r="G60" s="4"/>
      <c r="H60" s="4">
        <f t="shared" si="0"/>
        <v>2088000</v>
      </c>
      <c r="I60" s="4">
        <f t="shared" si="1"/>
        <v>2088000</v>
      </c>
      <c r="J60" s="4"/>
      <c r="K60" s="4"/>
      <c r="L60" s="4"/>
      <c r="M60" s="4">
        <f t="shared" si="2"/>
        <v>2088000</v>
      </c>
      <c r="N60" s="10"/>
      <c r="O60">
        <f>_xlfn.XLOOKUP(E60,'[1]Tổng hợp'!$F$4:$F$83,'[1]Tổng hợp'!$EG$4:$EG$83,,0)</f>
        <v>2088000</v>
      </c>
      <c r="P60" s="12">
        <f t="shared" si="3"/>
        <v>0</v>
      </c>
    </row>
    <row r="61" spans="1:16">
      <c r="A61" s="3">
        <v>59</v>
      </c>
      <c r="B61" s="1" t="s">
        <v>161</v>
      </c>
      <c r="C61" s="1" t="s">
        <v>89</v>
      </c>
      <c r="D61" s="1" t="s">
        <v>19</v>
      </c>
      <c r="E61" s="1" t="s">
        <v>162</v>
      </c>
      <c r="F61" s="4">
        <v>4431000</v>
      </c>
      <c r="G61" s="4"/>
      <c r="H61" s="4">
        <f t="shared" si="0"/>
        <v>4431000</v>
      </c>
      <c r="I61" s="4">
        <f t="shared" si="1"/>
        <v>4431000</v>
      </c>
      <c r="J61" s="4"/>
      <c r="K61" s="4"/>
      <c r="L61" s="4"/>
      <c r="M61" s="4">
        <f t="shared" si="2"/>
        <v>4431000</v>
      </c>
      <c r="N61" s="10"/>
      <c r="O61">
        <f>_xlfn.XLOOKUP(E61,'[1]Tổng hợp'!$F$4:$F$83,'[1]Tổng hợp'!$EG$4:$EG$83,,0)</f>
        <v>4431000</v>
      </c>
      <c r="P61" s="12">
        <f t="shared" si="3"/>
        <v>0</v>
      </c>
    </row>
    <row r="62" spans="1:16">
      <c r="A62" s="3">
        <v>60</v>
      </c>
      <c r="B62" s="1" t="s">
        <v>163</v>
      </c>
      <c r="C62" s="1" t="s">
        <v>139</v>
      </c>
      <c r="D62" s="1" t="s">
        <v>19</v>
      </c>
      <c r="E62" s="1" t="s">
        <v>164</v>
      </c>
      <c r="F62" s="4">
        <v>4289000</v>
      </c>
      <c r="G62" s="4"/>
      <c r="H62" s="4">
        <f t="shared" si="0"/>
        <v>4289000</v>
      </c>
      <c r="I62" s="4">
        <f t="shared" si="1"/>
        <v>4289000</v>
      </c>
      <c r="J62" s="4"/>
      <c r="K62" s="4"/>
      <c r="L62" s="4"/>
      <c r="M62" s="4">
        <f t="shared" si="2"/>
        <v>4289000</v>
      </c>
      <c r="N62" s="10"/>
      <c r="O62">
        <f>_xlfn.XLOOKUP(E62,'[1]Tổng hợp'!$F$4:$F$83,'[1]Tổng hợp'!$EG$4:$EG$83,,0)</f>
        <v>4289000</v>
      </c>
      <c r="P62" s="12">
        <f t="shared" si="3"/>
        <v>0</v>
      </c>
    </row>
    <row r="63" spans="1:16">
      <c r="A63" s="3">
        <v>61</v>
      </c>
      <c r="B63" s="1" t="s">
        <v>165</v>
      </c>
      <c r="C63" s="1" t="s">
        <v>39</v>
      </c>
      <c r="D63" s="1" t="s">
        <v>23</v>
      </c>
      <c r="E63" s="1" t="s">
        <v>166</v>
      </c>
      <c r="F63" s="4">
        <v>2632000</v>
      </c>
      <c r="G63" s="4"/>
      <c r="H63" s="4">
        <f t="shared" si="0"/>
        <v>2632000</v>
      </c>
      <c r="I63" s="4">
        <f t="shared" si="1"/>
        <v>2632000</v>
      </c>
      <c r="J63" s="4"/>
      <c r="K63" s="4"/>
      <c r="L63" s="4"/>
      <c r="M63" s="4">
        <f t="shared" si="2"/>
        <v>2632000</v>
      </c>
      <c r="N63" s="10"/>
      <c r="O63">
        <f>_xlfn.XLOOKUP(E63,'[1]Tổng hợp'!$F$4:$F$83,'[1]Tổng hợp'!$EG$4:$EG$83,,0)</f>
        <v>2632000</v>
      </c>
      <c r="P63" s="12">
        <f t="shared" si="3"/>
        <v>0</v>
      </c>
    </row>
    <row r="64" spans="1:16">
      <c r="A64" s="3">
        <v>62</v>
      </c>
      <c r="B64" s="1" t="s">
        <v>167</v>
      </c>
      <c r="C64" s="1" t="s">
        <v>89</v>
      </c>
      <c r="D64" s="1" t="s">
        <v>19</v>
      </c>
      <c r="E64" s="1" t="s">
        <v>168</v>
      </c>
      <c r="F64" s="4">
        <v>3788000</v>
      </c>
      <c r="G64" s="4"/>
      <c r="H64" s="4">
        <f t="shared" si="0"/>
        <v>3788000</v>
      </c>
      <c r="I64" s="4">
        <f t="shared" si="1"/>
        <v>3788000</v>
      </c>
      <c r="J64" s="4"/>
      <c r="K64" s="4"/>
      <c r="L64" s="4"/>
      <c r="M64" s="4">
        <f t="shared" si="2"/>
        <v>3788000</v>
      </c>
      <c r="N64" s="10"/>
      <c r="O64">
        <f>_xlfn.XLOOKUP(E64,'[1]Tổng hợp'!$F$4:$F$83,'[1]Tổng hợp'!$EG$4:$EG$83,,0)</f>
        <v>3788000</v>
      </c>
      <c r="P64" s="12">
        <f t="shared" si="3"/>
        <v>0</v>
      </c>
    </row>
    <row r="65" spans="1:16">
      <c r="A65" s="3">
        <v>63</v>
      </c>
      <c r="B65" s="1" t="s">
        <v>169</v>
      </c>
      <c r="C65" s="1" t="s">
        <v>139</v>
      </c>
      <c r="D65" s="1" t="s">
        <v>19</v>
      </c>
      <c r="E65" s="1" t="s">
        <v>170</v>
      </c>
      <c r="F65" s="4">
        <v>2432000</v>
      </c>
      <c r="G65" s="4"/>
      <c r="H65" s="4">
        <f t="shared" si="0"/>
        <v>2432000</v>
      </c>
      <c r="I65" s="4">
        <f t="shared" si="1"/>
        <v>2254000</v>
      </c>
      <c r="J65" s="4">
        <v>178000</v>
      </c>
      <c r="K65" s="4"/>
      <c r="L65" s="4"/>
      <c r="M65" s="4">
        <f t="shared" si="2"/>
        <v>2254000</v>
      </c>
      <c r="N65" s="11" t="s">
        <v>216</v>
      </c>
      <c r="O65">
        <f>_xlfn.XLOOKUP(E65,'[1]Tổng hợp'!$F$4:$F$83,'[1]Tổng hợp'!$EG$4:$EG$83,,0)</f>
        <v>2254000</v>
      </c>
      <c r="P65" s="12">
        <f t="shared" si="3"/>
        <v>0</v>
      </c>
    </row>
    <row r="66" spans="1:16">
      <c r="A66" s="3">
        <v>64</v>
      </c>
      <c r="B66" s="1" t="s">
        <v>171</v>
      </c>
      <c r="C66" s="1" t="s">
        <v>172</v>
      </c>
      <c r="D66" s="1" t="s">
        <v>19</v>
      </c>
      <c r="E66" s="1" t="s">
        <v>173</v>
      </c>
      <c r="F66" s="4">
        <v>2652000</v>
      </c>
      <c r="G66" s="4"/>
      <c r="H66" s="4">
        <f t="shared" si="0"/>
        <v>2652000</v>
      </c>
      <c r="I66" s="4">
        <f t="shared" si="1"/>
        <v>2652000</v>
      </c>
      <c r="J66" s="4"/>
      <c r="K66" s="4"/>
      <c r="L66" s="4"/>
      <c r="M66" s="4">
        <f t="shared" si="2"/>
        <v>2652000</v>
      </c>
      <c r="N66" s="10"/>
      <c r="O66">
        <f>_xlfn.XLOOKUP(E66,'[1]Tổng hợp'!$F$4:$F$83,'[1]Tổng hợp'!$EG$4:$EG$83,,0)</f>
        <v>2652000</v>
      </c>
      <c r="P66" s="12">
        <f t="shared" si="3"/>
        <v>0</v>
      </c>
    </row>
    <row r="67" spans="1:16">
      <c r="A67" s="3">
        <v>65</v>
      </c>
      <c r="B67" s="1" t="s">
        <v>174</v>
      </c>
      <c r="C67" s="1" t="s">
        <v>175</v>
      </c>
      <c r="D67" s="1" t="s">
        <v>19</v>
      </c>
      <c r="E67" s="1" t="s">
        <v>176</v>
      </c>
      <c r="F67" s="4">
        <v>2733000</v>
      </c>
      <c r="G67" s="4"/>
      <c r="H67" s="4">
        <f t="shared" si="0"/>
        <v>2733000</v>
      </c>
      <c r="I67" s="4">
        <f t="shared" si="1"/>
        <v>2733000</v>
      </c>
      <c r="J67" s="4"/>
      <c r="K67" s="4"/>
      <c r="L67" s="4"/>
      <c r="M67" s="4">
        <f t="shared" si="2"/>
        <v>2733000</v>
      </c>
      <c r="N67" s="10"/>
      <c r="O67">
        <f>_xlfn.XLOOKUP(E67,'[1]Tổng hợp'!$F$4:$F$83,'[1]Tổng hợp'!$EG$4:$EG$83,,0)</f>
        <v>2733000</v>
      </c>
      <c r="P67" s="12">
        <f t="shared" si="3"/>
        <v>0</v>
      </c>
    </row>
    <row r="68" spans="1:16">
      <c r="A68" s="3">
        <v>66</v>
      </c>
      <c r="B68" s="1" t="s">
        <v>177</v>
      </c>
      <c r="C68" s="1" t="s">
        <v>178</v>
      </c>
      <c r="D68" s="1" t="s">
        <v>23</v>
      </c>
      <c r="E68" s="1" t="s">
        <v>179</v>
      </c>
      <c r="F68" s="4">
        <v>1897000</v>
      </c>
      <c r="G68" s="4"/>
      <c r="H68" s="4">
        <f t="shared" ref="H68:H82" si="4">F68+G68</f>
        <v>1897000</v>
      </c>
      <c r="I68" s="4">
        <f t="shared" ref="I68:I82" si="5">H68-J68-K68</f>
        <v>1897000</v>
      </c>
      <c r="J68" s="4"/>
      <c r="K68" s="4"/>
      <c r="L68" s="4"/>
      <c r="M68" s="4">
        <f t="shared" ref="M68:M82" si="6">I68+K68</f>
        <v>1897000</v>
      </c>
      <c r="N68" s="10"/>
      <c r="O68">
        <f>_xlfn.XLOOKUP(E68,'[1]Tổng hợp'!$F$4:$F$83,'[1]Tổng hợp'!$EG$4:$EG$83,,0)</f>
        <v>1897000</v>
      </c>
      <c r="P68" s="12">
        <f t="shared" ref="P68:P82" si="7">I68-O68</f>
        <v>0</v>
      </c>
    </row>
    <row r="69" spans="1:16">
      <c r="A69" s="3">
        <v>67</v>
      </c>
      <c r="B69" s="1" t="s">
        <v>180</v>
      </c>
      <c r="C69" s="1" t="s">
        <v>178</v>
      </c>
      <c r="D69" s="1" t="s">
        <v>19</v>
      </c>
      <c r="E69" s="1" t="s">
        <v>181</v>
      </c>
      <c r="F69" s="4">
        <v>2352000</v>
      </c>
      <c r="G69" s="4"/>
      <c r="H69" s="4">
        <f t="shared" si="4"/>
        <v>2352000</v>
      </c>
      <c r="I69" s="4">
        <f t="shared" si="5"/>
        <v>2352000</v>
      </c>
      <c r="J69" s="4"/>
      <c r="K69" s="4"/>
      <c r="L69" s="4"/>
      <c r="M69" s="4">
        <f t="shared" si="6"/>
        <v>2352000</v>
      </c>
      <c r="N69" s="10"/>
      <c r="O69">
        <f>_xlfn.XLOOKUP(E69,'[1]Tổng hợp'!$F$4:$F$83,'[1]Tổng hợp'!$EG$4:$EG$83,,0)</f>
        <v>2352000</v>
      </c>
      <c r="P69" s="12">
        <f t="shared" si="7"/>
        <v>0</v>
      </c>
    </row>
    <row r="70" spans="1:16">
      <c r="A70" s="3">
        <v>68</v>
      </c>
      <c r="B70" s="1" t="s">
        <v>182</v>
      </c>
      <c r="C70" s="1" t="s">
        <v>183</v>
      </c>
      <c r="D70" s="1" t="s">
        <v>19</v>
      </c>
      <c r="E70" s="1" t="s">
        <v>184</v>
      </c>
      <c r="F70" s="4">
        <v>3484000</v>
      </c>
      <c r="G70" s="4"/>
      <c r="H70" s="4">
        <f t="shared" si="4"/>
        <v>3484000</v>
      </c>
      <c r="I70" s="4">
        <f t="shared" si="5"/>
        <v>3484000</v>
      </c>
      <c r="J70" s="4"/>
      <c r="K70" s="4"/>
      <c r="L70" s="4"/>
      <c r="M70" s="4">
        <f t="shared" si="6"/>
        <v>3484000</v>
      </c>
      <c r="N70" s="10"/>
      <c r="O70">
        <f>_xlfn.XLOOKUP(E70,'[1]Tổng hợp'!$F$4:$F$83,'[1]Tổng hợp'!$EG$4:$EG$83,,0)</f>
        <v>3484000</v>
      </c>
      <c r="P70" s="12">
        <f t="shared" si="7"/>
        <v>0</v>
      </c>
    </row>
    <row r="71" spans="1:16">
      <c r="A71" s="3">
        <v>69</v>
      </c>
      <c r="B71" s="1" t="s">
        <v>185</v>
      </c>
      <c r="C71" s="1" t="s">
        <v>186</v>
      </c>
      <c r="D71" s="1" t="s">
        <v>19</v>
      </c>
      <c r="E71" s="1" t="s">
        <v>187</v>
      </c>
      <c r="F71" s="4">
        <v>2871000</v>
      </c>
      <c r="G71" s="4"/>
      <c r="H71" s="4">
        <f t="shared" si="4"/>
        <v>2871000</v>
      </c>
      <c r="I71" s="4">
        <f t="shared" si="5"/>
        <v>2871000</v>
      </c>
      <c r="J71" s="4"/>
      <c r="K71" s="4"/>
      <c r="L71" s="4"/>
      <c r="M71" s="4">
        <f t="shared" si="6"/>
        <v>2871000</v>
      </c>
      <c r="N71" s="10"/>
      <c r="O71">
        <f>_xlfn.XLOOKUP(E71,'[1]Tổng hợp'!$F$4:$F$83,'[1]Tổng hợp'!$EG$4:$EG$83,,0)</f>
        <v>2871000</v>
      </c>
      <c r="P71" s="12">
        <f t="shared" si="7"/>
        <v>0</v>
      </c>
    </row>
    <row r="72" spans="1:16">
      <c r="A72" s="3">
        <v>70</v>
      </c>
      <c r="B72" s="1" t="s">
        <v>188</v>
      </c>
      <c r="C72" s="1" t="s">
        <v>189</v>
      </c>
      <c r="D72" s="1" t="s">
        <v>19</v>
      </c>
      <c r="E72" s="1" t="s">
        <v>190</v>
      </c>
      <c r="F72" s="4">
        <v>3521000</v>
      </c>
      <c r="G72" s="4"/>
      <c r="H72" s="4">
        <f t="shared" si="4"/>
        <v>3521000</v>
      </c>
      <c r="I72" s="4">
        <f t="shared" si="5"/>
        <v>3521000</v>
      </c>
      <c r="J72" s="4"/>
      <c r="K72" s="4"/>
      <c r="L72" s="4"/>
      <c r="M72" s="4">
        <f t="shared" si="6"/>
        <v>3521000</v>
      </c>
      <c r="N72" s="10"/>
      <c r="O72">
        <f>_xlfn.XLOOKUP(E72,'[1]Tổng hợp'!$F$4:$F$83,'[1]Tổng hợp'!$EG$4:$EG$83,,0)</f>
        <v>3521000</v>
      </c>
      <c r="P72" s="12">
        <f t="shared" si="7"/>
        <v>0</v>
      </c>
    </row>
    <row r="73" spans="1:16">
      <c r="A73" s="3">
        <v>71</v>
      </c>
      <c r="B73" s="1" t="s">
        <v>191</v>
      </c>
      <c r="C73" s="1" t="s">
        <v>192</v>
      </c>
      <c r="D73" s="1" t="s">
        <v>23</v>
      </c>
      <c r="E73" s="1" t="s">
        <v>193</v>
      </c>
      <c r="F73" s="4">
        <v>2488000</v>
      </c>
      <c r="G73" s="4"/>
      <c r="H73" s="4">
        <f t="shared" si="4"/>
        <v>2488000</v>
      </c>
      <c r="I73" s="4">
        <f t="shared" si="5"/>
        <v>2488000</v>
      </c>
      <c r="J73" s="4"/>
      <c r="K73" s="4"/>
      <c r="L73" s="4"/>
      <c r="M73" s="4">
        <f t="shared" si="6"/>
        <v>2488000</v>
      </c>
      <c r="N73" s="10"/>
      <c r="O73">
        <f>_xlfn.XLOOKUP(E73,'[1]Tổng hợp'!$F$4:$F$83,'[1]Tổng hợp'!$EG$4:$EG$83,,0)</f>
        <v>2488000</v>
      </c>
      <c r="P73" s="12">
        <f t="shared" si="7"/>
        <v>0</v>
      </c>
    </row>
    <row r="74" spans="1:16">
      <c r="A74" s="3">
        <v>72</v>
      </c>
      <c r="B74" s="1" t="s">
        <v>194</v>
      </c>
      <c r="C74" s="1" t="s">
        <v>178</v>
      </c>
      <c r="D74" s="1" t="s">
        <v>19</v>
      </c>
      <c r="E74" s="1" t="s">
        <v>195</v>
      </c>
      <c r="F74" s="4">
        <v>2520000</v>
      </c>
      <c r="G74" s="4"/>
      <c r="H74" s="4">
        <f t="shared" si="4"/>
        <v>2520000</v>
      </c>
      <c r="I74" s="4">
        <f t="shared" si="5"/>
        <v>2520000</v>
      </c>
      <c r="J74" s="4"/>
      <c r="K74" s="4"/>
      <c r="L74" s="4"/>
      <c r="M74" s="4">
        <f t="shared" si="6"/>
        <v>2520000</v>
      </c>
      <c r="N74" s="10"/>
      <c r="O74">
        <f>_xlfn.XLOOKUP(E74,'[1]Tổng hợp'!$F$4:$F$83,'[1]Tổng hợp'!$EG$4:$EG$83,,0)</f>
        <v>2520000</v>
      </c>
      <c r="P74" s="12">
        <f t="shared" si="7"/>
        <v>0</v>
      </c>
    </row>
    <row r="75" spans="1:16">
      <c r="A75" s="3">
        <v>73</v>
      </c>
      <c r="B75" s="1" t="s">
        <v>196</v>
      </c>
      <c r="C75" s="1" t="s">
        <v>197</v>
      </c>
      <c r="D75" s="1" t="s">
        <v>19</v>
      </c>
      <c r="E75" s="1" t="s">
        <v>198</v>
      </c>
      <c r="F75" s="4">
        <v>3858000</v>
      </c>
      <c r="G75" s="4"/>
      <c r="H75" s="4">
        <f t="shared" si="4"/>
        <v>3858000</v>
      </c>
      <c r="I75" s="4">
        <f t="shared" si="5"/>
        <v>3858000</v>
      </c>
      <c r="J75" s="4"/>
      <c r="K75" s="4"/>
      <c r="L75" s="4"/>
      <c r="M75" s="4">
        <f t="shared" si="6"/>
        <v>3858000</v>
      </c>
      <c r="N75" s="10"/>
      <c r="O75">
        <f>_xlfn.XLOOKUP(E75,'[1]Tổng hợp'!$F$4:$F$83,'[1]Tổng hợp'!$EG$4:$EG$83,,0)</f>
        <v>3858000</v>
      </c>
      <c r="P75" s="12">
        <f t="shared" si="7"/>
        <v>0</v>
      </c>
    </row>
    <row r="76" spans="1:16">
      <c r="A76" s="3">
        <v>74</v>
      </c>
      <c r="B76" s="1" t="s">
        <v>199</v>
      </c>
      <c r="C76" s="1" t="s">
        <v>34</v>
      </c>
      <c r="D76" s="1" t="s">
        <v>23</v>
      </c>
      <c r="E76" s="1" t="s">
        <v>200</v>
      </c>
      <c r="F76" s="4">
        <v>2717000</v>
      </c>
      <c r="G76" s="4"/>
      <c r="H76" s="4">
        <f t="shared" si="4"/>
        <v>2717000</v>
      </c>
      <c r="I76" s="4">
        <f t="shared" si="5"/>
        <v>2717000</v>
      </c>
      <c r="J76" s="4"/>
      <c r="K76" s="4"/>
      <c r="L76" s="4"/>
      <c r="M76" s="4">
        <f t="shared" si="6"/>
        <v>2717000</v>
      </c>
      <c r="N76" s="10"/>
      <c r="O76">
        <f>_xlfn.XLOOKUP(E76,'[1]Tổng hợp'!$F$4:$F$83,'[1]Tổng hợp'!$EG$4:$EG$83,,0)</f>
        <v>2717000</v>
      </c>
      <c r="P76" s="12">
        <f t="shared" si="7"/>
        <v>0</v>
      </c>
    </row>
    <row r="77" spans="1:16">
      <c r="A77" s="3">
        <v>75</v>
      </c>
      <c r="B77" s="1" t="s">
        <v>201</v>
      </c>
      <c r="C77" s="1" t="s">
        <v>129</v>
      </c>
      <c r="D77" s="1" t="s">
        <v>19</v>
      </c>
      <c r="E77" s="1" t="s">
        <v>202</v>
      </c>
      <c r="F77" s="4">
        <v>3859000</v>
      </c>
      <c r="G77" s="4"/>
      <c r="H77" s="4">
        <f t="shared" si="4"/>
        <v>3859000</v>
      </c>
      <c r="I77" s="4">
        <f t="shared" si="5"/>
        <v>3859000</v>
      </c>
      <c r="J77" s="4"/>
      <c r="K77" s="4"/>
      <c r="L77" s="4"/>
      <c r="M77" s="4">
        <f t="shared" si="6"/>
        <v>3859000</v>
      </c>
      <c r="N77" s="10"/>
      <c r="O77">
        <f>_xlfn.XLOOKUP(E77,'[1]Tổng hợp'!$F$4:$F$83,'[1]Tổng hợp'!$EG$4:$EG$83,,0)</f>
        <v>3859000</v>
      </c>
      <c r="P77" s="12">
        <f t="shared" si="7"/>
        <v>0</v>
      </c>
    </row>
    <row r="78" spans="1:16">
      <c r="A78" s="3">
        <v>76</v>
      </c>
      <c r="B78" s="1" t="s">
        <v>203</v>
      </c>
      <c r="C78" s="1" t="s">
        <v>123</v>
      </c>
      <c r="D78" s="1" t="s">
        <v>19</v>
      </c>
      <c r="E78" s="1" t="s">
        <v>204</v>
      </c>
      <c r="F78" s="4">
        <v>2375000</v>
      </c>
      <c r="G78" s="4"/>
      <c r="H78" s="4">
        <f t="shared" si="4"/>
        <v>2375000</v>
      </c>
      <c r="I78" s="4">
        <f t="shared" si="5"/>
        <v>2375000</v>
      </c>
      <c r="J78" s="4"/>
      <c r="K78" s="4"/>
      <c r="L78" s="4"/>
      <c r="M78" s="4">
        <f t="shared" si="6"/>
        <v>2375000</v>
      </c>
      <c r="N78" s="10"/>
      <c r="O78">
        <f>_xlfn.XLOOKUP(E78,'[1]Tổng hợp'!$F$4:$F$83,'[1]Tổng hợp'!$EG$4:$EG$83,,0)</f>
        <v>2375000</v>
      </c>
      <c r="P78" s="12">
        <f t="shared" si="7"/>
        <v>0</v>
      </c>
    </row>
    <row r="79" spans="1:16">
      <c r="A79" s="3">
        <v>77</v>
      </c>
      <c r="B79" s="1" t="s">
        <v>205</v>
      </c>
      <c r="C79" s="1" t="s">
        <v>58</v>
      </c>
      <c r="D79" s="1" t="s">
        <v>19</v>
      </c>
      <c r="E79" s="1" t="s">
        <v>206</v>
      </c>
      <c r="F79" s="4">
        <v>4815000</v>
      </c>
      <c r="G79" s="4"/>
      <c r="H79" s="4">
        <f t="shared" si="4"/>
        <v>4815000</v>
      </c>
      <c r="I79" s="4">
        <f t="shared" si="5"/>
        <v>4815000</v>
      </c>
      <c r="J79" s="4"/>
      <c r="K79" s="4"/>
      <c r="L79" s="4"/>
      <c r="M79" s="4">
        <f t="shared" si="6"/>
        <v>4815000</v>
      </c>
      <c r="N79" s="10"/>
      <c r="O79">
        <f>_xlfn.XLOOKUP(E79,'[1]Tổng hợp'!$F$4:$F$83,'[1]Tổng hợp'!$EG$4:$EG$83,,0)</f>
        <v>4815000</v>
      </c>
      <c r="P79" s="12">
        <f t="shared" si="7"/>
        <v>0</v>
      </c>
    </row>
    <row r="80" spans="1:16">
      <c r="A80" s="3">
        <v>78</v>
      </c>
      <c r="B80" s="1" t="s">
        <v>207</v>
      </c>
      <c r="C80" s="1" t="s">
        <v>79</v>
      </c>
      <c r="D80" s="1" t="s">
        <v>19</v>
      </c>
      <c r="E80" s="1" t="s">
        <v>208</v>
      </c>
      <c r="F80" s="4">
        <v>4695000</v>
      </c>
      <c r="G80" s="4"/>
      <c r="H80" s="4">
        <f t="shared" si="4"/>
        <v>4695000</v>
      </c>
      <c r="I80" s="4">
        <f t="shared" si="5"/>
        <v>4695000</v>
      </c>
      <c r="J80" s="4"/>
      <c r="K80" s="4"/>
      <c r="L80" s="4"/>
      <c r="M80" s="4">
        <f t="shared" si="6"/>
        <v>4695000</v>
      </c>
      <c r="N80" s="10"/>
      <c r="O80">
        <f>_xlfn.XLOOKUP(E80,'[1]Tổng hợp'!$F$4:$F$83,'[1]Tổng hợp'!$EG$4:$EG$83,,0)</f>
        <v>4695000</v>
      </c>
      <c r="P80" s="12">
        <f t="shared" si="7"/>
        <v>0</v>
      </c>
    </row>
    <row r="81" spans="1:16">
      <c r="A81" s="3">
        <v>79</v>
      </c>
      <c r="B81" s="1" t="s">
        <v>209</v>
      </c>
      <c r="C81" s="1" t="s">
        <v>34</v>
      </c>
      <c r="D81" s="1" t="s">
        <v>19</v>
      </c>
      <c r="E81" s="1" t="s">
        <v>210</v>
      </c>
      <c r="F81" s="4">
        <v>3672000</v>
      </c>
      <c r="G81" s="4"/>
      <c r="H81" s="4">
        <f t="shared" si="4"/>
        <v>3672000</v>
      </c>
      <c r="I81" s="4">
        <f t="shared" si="5"/>
        <v>3672000</v>
      </c>
      <c r="J81" s="4"/>
      <c r="K81" s="4"/>
      <c r="L81" s="4"/>
      <c r="M81" s="4">
        <f t="shared" si="6"/>
        <v>3672000</v>
      </c>
      <c r="N81" s="10"/>
      <c r="O81">
        <f>_xlfn.XLOOKUP(E81,'[1]Tổng hợp'!$F$4:$F$83,'[1]Tổng hợp'!$EG$4:$EG$83,,0)</f>
        <v>3672000</v>
      </c>
      <c r="P81" s="12">
        <f t="shared" si="7"/>
        <v>0</v>
      </c>
    </row>
    <row r="82" spans="1:16">
      <c r="A82" s="3">
        <v>80</v>
      </c>
      <c r="B82" s="1" t="s">
        <v>211</v>
      </c>
      <c r="C82" s="1" t="s">
        <v>31</v>
      </c>
      <c r="D82" s="1" t="s">
        <v>23</v>
      </c>
      <c r="E82" s="1" t="s">
        <v>212</v>
      </c>
      <c r="F82" s="4">
        <v>4025000</v>
      </c>
      <c r="G82" s="4"/>
      <c r="H82" s="4">
        <f t="shared" si="4"/>
        <v>4025000</v>
      </c>
      <c r="I82" s="4">
        <f t="shared" si="5"/>
        <v>4025000</v>
      </c>
      <c r="J82" s="4"/>
      <c r="K82" s="4"/>
      <c r="L82" s="4"/>
      <c r="M82" s="4">
        <f t="shared" si="6"/>
        <v>4025000</v>
      </c>
      <c r="N82" s="10"/>
      <c r="O82">
        <f>_xlfn.XLOOKUP(E82,'[1]Tổng hợp'!$F$4:$F$83,'[1]Tổng hợp'!$EG$4:$EG$83,,0)</f>
        <v>4025000</v>
      </c>
      <c r="P82" s="12">
        <f t="shared" si="7"/>
        <v>0</v>
      </c>
    </row>
    <row r="83" spans="1:16">
      <c r="I83" s="5">
        <f>SUM(I3:I82)</f>
        <v>256563000</v>
      </c>
    </row>
  </sheetData>
  <autoFilter ref="A2:M2" xr:uid="{00000000-0009-0000-0000-000000000000}"/>
  <mergeCells count="4">
    <mergeCell ref="A1:E1"/>
    <mergeCell ref="F1:H1"/>
    <mergeCell ref="I1:J1"/>
    <mergeCell ref="K1:M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Giang Nguyễn</cp:lastModifiedBy>
  <dcterms:modified xsi:type="dcterms:W3CDTF">2025-06-16T09:15:44Z</dcterms:modified>
</cp:coreProperties>
</file>