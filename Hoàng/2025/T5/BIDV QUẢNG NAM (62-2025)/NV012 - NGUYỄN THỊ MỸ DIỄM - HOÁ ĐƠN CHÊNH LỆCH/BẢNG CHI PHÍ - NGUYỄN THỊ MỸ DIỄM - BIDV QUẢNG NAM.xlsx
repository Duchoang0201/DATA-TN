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DATA-TN\Hoàng\2025\T5\BIDV QUẢNG NAM (62-2025)\NV012 - NGUYỄN THỊ MỸ DIỄM\"/>
    </mc:Choice>
  </mc:AlternateContent>
  <xr:revisionPtr revIDLastSave="0" documentId="13_ncr:1_{2844AA0A-C277-4456-86F6-E560C3FF32F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GUYỄN THỊ MỸ DIỄM" sheetId="1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N4" i="11" l="1"/>
</calcChain>
</file>

<file path=xl/sharedStrings.xml><?xml version="1.0" encoding="utf-8"?>
<sst xmlns="http://schemas.openxmlformats.org/spreadsheetml/2006/main" count="72" uniqueCount="50">
  <si>
    <t>Khám tổng quát</t>
  </si>
  <si>
    <t>Chụp X-Quang tim phổi kỹ thuật số (Hãng Fuji - Nhật)</t>
  </si>
  <si>
    <t>Nước tiểu 10 thông số. (Xét nghiệm nước tiểu toàn phần) (Hãng Roche - Thụy sỹ - Hóa chất chính hãng - Hóa chất chính hãng - Hóa chất chính hãng)</t>
  </si>
  <si>
    <t>Tổng phân tích tế bào máu bằng máy Laser. (Xét nghiệm công thức máu toàn phần) (Hãng Sysmec -  Thụy Sỹ - Hóa chất chính hãng)</t>
  </si>
  <si>
    <t>Định lượng GLUCOSE máu. (Hãng Roche - Thụy sỹ - Hóa chất chính hãng - Hóa chất chính hãng)</t>
  </si>
  <si>
    <t xml:space="preserve">Tổng kết và tư vấn sức khỏe </t>
  </si>
  <si>
    <t>Định lượng CREATINIE máu (Hãng Roche - Thụy sỹ - Hóa chất chính hãng - Hóa chất chính hãng)</t>
  </si>
  <si>
    <t>HDL-cholesterol  (Hãng Roche - Thụy sỹ - Hóa chất chính hãng)</t>
  </si>
  <si>
    <t xml:space="preserve">LDL-cholesterol   (Hãng Roche - Thụy sỹ - Hóa chất chính hãng)    </t>
  </si>
  <si>
    <t>Cholesterol TP (Hãng Roche - Thụy sỹ - Hóa chất chính hãng)</t>
  </si>
  <si>
    <t>Triglycerid (Hãng Roche - Thụy sỹ - Hóa chất chính hãng)</t>
  </si>
  <si>
    <t>Anti HBs test nhanh (Hãng Roche - Thụy sỹ - Hóa chất chính hãng)</t>
  </si>
  <si>
    <t xml:space="preserve">Soi tươi (Soi trực tiếp nhuộm gram): Dịch âm đạo </t>
  </si>
  <si>
    <t xml:space="preserve">Soi Cổ Tử Cung </t>
  </si>
  <si>
    <t xml:space="preserve">Xét nghiệm Prothrombin (PT: Prothrombin Time) </t>
  </si>
  <si>
    <t>STT</t>
  </si>
  <si>
    <t xml:space="preserve">Siêu âm màu SPK trên máy E10 (đầu dò âm đạo) </t>
  </si>
  <si>
    <t>Khám Thai</t>
  </si>
  <si>
    <t>Siêu âm thai 4D</t>
  </si>
  <si>
    <t>Siêu âm màu Bụng - Tổng Quát  (Máy Siemens Sequoia 2022- Đức hiện đại nhất )</t>
  </si>
  <si>
    <t>Siêu âm Tuyến giáp  (Máy Siemens Sequoia 2022- Đức hiện đại nhất )</t>
  </si>
  <si>
    <t>Helicobacter Pylori IgM</t>
  </si>
  <si>
    <t>Xét nghiệm AMH</t>
  </si>
  <si>
    <t>GENE HBVAX 1ML (Viêm gan B - Việt Nam)</t>
  </si>
  <si>
    <t>HỌ VÀ TÊN</t>
  </si>
  <si>
    <t>GIỚI TÍNH</t>
  </si>
  <si>
    <t>NGÀY SINH</t>
  </si>
  <si>
    <t>BỘ PHẬN</t>
  </si>
  <si>
    <t>SỐ ĐIỆN THOẠI</t>
  </si>
  <si>
    <t>EMAIL</t>
  </si>
  <si>
    <t>THÀNH TIỀN</t>
  </si>
  <si>
    <t>ALT (SGPT )  (Hãng Roche - Thụy sỹ - Hóa chất chính hãng - Hóa chất chính hãng)</t>
  </si>
  <si>
    <t>AST (SGOT )  (Hãng Roche - Thụy sỹ - Hóa chất chính hãng - Hóa chất chính hãng)</t>
  </si>
  <si>
    <t>Đơn giá  (VNĐ)</t>
  </si>
  <si>
    <t>CBCNV</t>
  </si>
  <si>
    <t>Nữ</t>
  </si>
  <si>
    <t>Nguyễn Thị Mỹ Diễm</t>
  </si>
  <si>
    <t>NOTE</t>
  </si>
  <si>
    <t>Ưu đãi trong gói</t>
  </si>
  <si>
    <t>X</t>
  </si>
  <si>
    <t>KHCN1</t>
  </si>
  <si>
    <t>*0935021050</t>
  </si>
  <si>
    <t>Định lượng Can Xi ion tự do trong máu</t>
  </si>
  <si>
    <t>Định lượng Can Xi toàn phần</t>
  </si>
  <si>
    <t>Siêu âm màu tuyến vú (Máy GE LOGIQ S7 EXpert Công  nghệ XDclear đầu dò ma trận siêu nông - Mỹ )</t>
  </si>
  <si>
    <t>Nội soi dạ dày không đau (Máy PentaX EPK 3000 có chế độ tầm soát ung thư ISCAN - Nhật)</t>
  </si>
  <si>
    <t>x</t>
  </si>
  <si>
    <t>MÃ NV</t>
  </si>
  <si>
    <t>NV012</t>
  </si>
  <si>
    <t>NĂM SINH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</si>
</sst>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sz val="12"/>
      <color rgb="FF00000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CCC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2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top" wrapText="1"/>
    </xf>
    <xf numFmtId="165" fontId="5" fillId="2" borderId="1" xfId="1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top" wrapText="1"/>
    </xf>
    <xf numFmtId="3" fontId="5" fillId="4" borderId="1" xfId="1" applyNumberFormat="1" applyFont="1" applyFill="1" applyBorder="1" applyAlignment="1">
      <alignment horizontal="center" vertical="center"/>
    </xf>
    <xf numFmtId="3" fontId="5" fillId="3" borderId="1" xfId="0" applyNumberFormat="1" applyFont="1" applyFill="1" applyBorder="1" applyAlignment="1">
      <alignment horizontal="center" vertical="top" wrapText="1"/>
    </xf>
    <xf numFmtId="165" fontId="5" fillId="2" borderId="1" xfId="1" applyNumberFormat="1" applyFont="1" applyFill="1" applyBorder="1" applyAlignment="1">
      <alignment vertical="center" wrapText="1"/>
    </xf>
    <xf numFmtId="0" fontId="5" fillId="5" borderId="1" xfId="0" applyFont="1" applyFill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165" fontId="3" fillId="3" borderId="1" xfId="1" applyNumberFormat="1" applyFont="1" applyFill="1" applyBorder="1" applyAlignment="1">
      <alignment horizontal="center" vertical="center" wrapText="1"/>
    </xf>
    <xf numFmtId="3" fontId="5" fillId="2" borderId="1" xfId="1" applyNumberFormat="1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4">
    <cellStyle name="Comma" xfId="1" builtinId="3"/>
    <cellStyle name="Comma 2" xfId="3" xr:uid="{00000000-0005-0000-0000-000001000000}"/>
    <cellStyle name="Comma 3" xfId="2" xr:uid="{00000000-0005-0000-0000-000002000000}"/>
    <cellStyle name="Normal" xfId="0" builtinId="0"/>
  </cellStyles>
  <dxfs count="0"/>
  <tableStyles count="0" defaultTableStyle="TableStyleMedium2" defaultPivotStyle="PivotStyleLight16"/>
  <colors>
    <mruColors>
      <color rgb="FFCCCCFF"/>
      <color rgb="FF66FFFF"/>
      <color rgb="FFFF9999"/>
      <color rgb="FFFFCC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0849-9543-45B1-96EC-D33FF38BF89E}">
  <dimension ref="A1:AN4"/>
  <sheetViews>
    <sheetView tabSelected="1" topLeftCell="E1" zoomScale="55" zoomScaleNormal="55" workbookViewId="0">
      <selection activeCell="AA2" sqref="AA2"/>
    </sheetView>
  </sheetViews>
  <sheetFormatPr defaultRowHeight="15" x14ac:dyDescent="0.25"/>
  <cols>
    <col min="3" max="3" width="18.7109375" customWidth="1"/>
    <col min="11" max="12" width="12" bestFit="1" customWidth="1"/>
    <col min="13" max="13" width="12.28515625" bestFit="1" customWidth="1"/>
    <col min="14" max="15" width="10.5703125" bestFit="1" customWidth="1"/>
    <col min="16" max="17" width="9.42578125" bestFit="1" customWidth="1"/>
    <col min="18" max="18" width="10.5703125" bestFit="1" customWidth="1"/>
    <col min="19" max="19" width="10.140625" bestFit="1" customWidth="1"/>
    <col min="20" max="27" width="10.5703125" bestFit="1" customWidth="1"/>
    <col min="28" max="31" width="12" bestFit="1" customWidth="1"/>
    <col min="32" max="32" width="14.42578125" bestFit="1" customWidth="1"/>
    <col min="33" max="33" width="10.5703125" bestFit="1" customWidth="1"/>
    <col min="34" max="34" width="12" bestFit="1" customWidth="1"/>
    <col min="35" max="39" width="12" hidden="1" customWidth="1"/>
    <col min="40" max="40" width="19.5703125" customWidth="1"/>
  </cols>
  <sheetData>
    <row r="1" spans="1:40" ht="15.75" x14ac:dyDescent="0.25">
      <c r="A1" s="17" t="s">
        <v>15</v>
      </c>
      <c r="B1" s="18" t="s">
        <v>47</v>
      </c>
      <c r="C1" s="17" t="s">
        <v>24</v>
      </c>
      <c r="D1" s="17" t="s">
        <v>25</v>
      </c>
      <c r="E1" s="18" t="s">
        <v>49</v>
      </c>
      <c r="F1" s="17" t="s">
        <v>26</v>
      </c>
      <c r="G1" s="20" t="s">
        <v>37</v>
      </c>
      <c r="H1" s="20" t="s">
        <v>27</v>
      </c>
      <c r="I1" s="17" t="s">
        <v>28</v>
      </c>
      <c r="J1" s="17" t="s">
        <v>29</v>
      </c>
      <c r="K1" s="1">
        <v>1</v>
      </c>
      <c r="L1" s="2">
        <v>2</v>
      </c>
      <c r="M1" s="2">
        <v>3</v>
      </c>
      <c r="N1" s="2">
        <v>4</v>
      </c>
      <c r="O1" s="2">
        <v>5</v>
      </c>
      <c r="P1" s="2">
        <v>6</v>
      </c>
      <c r="Q1" s="2">
        <v>7</v>
      </c>
      <c r="R1" s="2">
        <v>8</v>
      </c>
      <c r="S1" s="2">
        <v>9</v>
      </c>
      <c r="T1" s="2">
        <v>7</v>
      </c>
      <c r="U1" s="2">
        <v>8</v>
      </c>
      <c r="V1" s="2">
        <v>10</v>
      </c>
      <c r="W1" s="2">
        <v>11</v>
      </c>
      <c r="X1" s="2">
        <v>16</v>
      </c>
      <c r="Y1" s="2">
        <v>24</v>
      </c>
      <c r="Z1" s="2">
        <v>25</v>
      </c>
      <c r="AA1" s="2">
        <v>49</v>
      </c>
      <c r="AB1" s="2">
        <v>63</v>
      </c>
      <c r="AC1" s="2">
        <v>80</v>
      </c>
      <c r="AD1" s="2">
        <v>81</v>
      </c>
      <c r="AE1" s="2">
        <v>82</v>
      </c>
      <c r="AF1" s="1">
        <v>137</v>
      </c>
      <c r="AG1" s="2">
        <v>147</v>
      </c>
      <c r="AH1" s="2">
        <v>151</v>
      </c>
      <c r="AI1" s="2">
        <v>152</v>
      </c>
      <c r="AJ1" s="2">
        <v>153</v>
      </c>
      <c r="AK1" s="2">
        <v>156</v>
      </c>
      <c r="AL1" s="2">
        <v>158</v>
      </c>
      <c r="AM1" s="2">
        <v>164</v>
      </c>
      <c r="AN1" s="15" t="s">
        <v>30</v>
      </c>
    </row>
    <row r="2" spans="1:40" ht="315" x14ac:dyDescent="0.25">
      <c r="A2" s="17"/>
      <c r="B2" s="19"/>
      <c r="C2" s="17"/>
      <c r="D2" s="17"/>
      <c r="E2" s="19"/>
      <c r="F2" s="17"/>
      <c r="G2" s="20"/>
      <c r="H2" s="20"/>
      <c r="I2" s="17"/>
      <c r="J2" s="17"/>
      <c r="K2" s="3" t="s">
        <v>0</v>
      </c>
      <c r="L2" s="3" t="s">
        <v>1</v>
      </c>
      <c r="M2" s="3" t="s">
        <v>2</v>
      </c>
      <c r="N2" s="3" t="s">
        <v>3</v>
      </c>
      <c r="O2" s="3" t="s">
        <v>4</v>
      </c>
      <c r="P2" s="3" t="s">
        <v>32</v>
      </c>
      <c r="Q2" s="3" t="s">
        <v>31</v>
      </c>
      <c r="R2" s="3" t="s">
        <v>6</v>
      </c>
      <c r="S2" s="3" t="s">
        <v>5</v>
      </c>
      <c r="T2" s="7" t="s">
        <v>7</v>
      </c>
      <c r="U2" s="11" t="s">
        <v>8</v>
      </c>
      <c r="V2" s="7" t="s">
        <v>9</v>
      </c>
      <c r="W2" s="11" t="s">
        <v>10</v>
      </c>
      <c r="X2" s="3" t="s">
        <v>14</v>
      </c>
      <c r="Y2" s="3" t="s">
        <v>42</v>
      </c>
      <c r="Z2" s="3" t="s">
        <v>43</v>
      </c>
      <c r="AA2" s="3" t="s">
        <v>11</v>
      </c>
      <c r="AB2" s="3" t="s">
        <v>21</v>
      </c>
      <c r="AC2" s="3" t="s">
        <v>19</v>
      </c>
      <c r="AD2" s="3" t="s">
        <v>44</v>
      </c>
      <c r="AE2" s="3" t="s">
        <v>20</v>
      </c>
      <c r="AF2" s="3" t="s">
        <v>45</v>
      </c>
      <c r="AG2" s="3" t="s">
        <v>12</v>
      </c>
      <c r="AH2" s="9" t="s">
        <v>16</v>
      </c>
      <c r="AI2" s="3" t="s">
        <v>13</v>
      </c>
      <c r="AJ2" s="3" t="s">
        <v>22</v>
      </c>
      <c r="AK2" s="3" t="s">
        <v>17</v>
      </c>
      <c r="AL2" s="3" t="s">
        <v>18</v>
      </c>
      <c r="AM2" s="3" t="s">
        <v>23</v>
      </c>
      <c r="AN2" s="15"/>
    </row>
    <row r="3" spans="1:40" ht="47.25" x14ac:dyDescent="0.25">
      <c r="A3" s="10" t="s">
        <v>33</v>
      </c>
      <c r="B3" s="10"/>
      <c r="C3" s="10"/>
      <c r="D3" s="4"/>
      <c r="E3" s="4"/>
      <c r="F3" s="4"/>
      <c r="G3" s="10"/>
      <c r="H3" s="10"/>
      <c r="I3" s="10"/>
      <c r="J3" s="10"/>
      <c r="K3" s="5">
        <v>200000</v>
      </c>
      <c r="L3" s="5">
        <v>102000</v>
      </c>
      <c r="M3" s="5">
        <v>59000</v>
      </c>
      <c r="N3" s="5">
        <v>75000</v>
      </c>
      <c r="O3" s="5">
        <v>27000</v>
      </c>
      <c r="P3" s="16">
        <v>60000</v>
      </c>
      <c r="Q3" s="16"/>
      <c r="R3" s="6">
        <v>41000</v>
      </c>
      <c r="S3" s="5" t="s">
        <v>38</v>
      </c>
      <c r="T3" s="8">
        <v>41000</v>
      </c>
      <c r="U3" s="8">
        <v>59000</v>
      </c>
      <c r="V3" s="8">
        <v>47000</v>
      </c>
      <c r="W3" s="8">
        <v>41000</v>
      </c>
      <c r="X3" s="5">
        <v>83000</v>
      </c>
      <c r="Y3" s="5">
        <v>30000</v>
      </c>
      <c r="Z3" s="5">
        <v>20000</v>
      </c>
      <c r="AA3" s="5">
        <v>66000</v>
      </c>
      <c r="AB3" s="6">
        <v>250000</v>
      </c>
      <c r="AC3" s="6">
        <v>230000</v>
      </c>
      <c r="AD3" s="6">
        <v>220000</v>
      </c>
      <c r="AE3" s="6">
        <v>230000</v>
      </c>
      <c r="AF3" s="5">
        <v>1968000</v>
      </c>
      <c r="AG3" s="6">
        <v>72000</v>
      </c>
      <c r="AH3" s="6">
        <v>187000</v>
      </c>
      <c r="AI3" s="6">
        <v>220000</v>
      </c>
      <c r="AJ3" s="6">
        <v>817000</v>
      </c>
      <c r="AK3" s="5">
        <v>165000</v>
      </c>
      <c r="AL3" s="5">
        <v>380000</v>
      </c>
      <c r="AM3" s="5">
        <v>205000</v>
      </c>
      <c r="AN3" s="15"/>
    </row>
    <row r="4" spans="1:40" ht="31.5" x14ac:dyDescent="0.25">
      <c r="A4" s="12">
        <v>12</v>
      </c>
      <c r="B4" s="12" t="s">
        <v>48</v>
      </c>
      <c r="C4" s="12" t="s">
        <v>36</v>
      </c>
      <c r="D4" s="12" t="s">
        <v>35</v>
      </c>
      <c r="E4" s="12">
        <v>1989</v>
      </c>
      <c r="F4" s="12">
        <v>1989</v>
      </c>
      <c r="G4" s="13" t="s">
        <v>34</v>
      </c>
      <c r="H4" s="12" t="s">
        <v>40</v>
      </c>
      <c r="I4" s="13" t="s">
        <v>41</v>
      </c>
      <c r="J4" s="13"/>
      <c r="K4" s="13" t="s">
        <v>39</v>
      </c>
      <c r="L4" s="13" t="s">
        <v>39</v>
      </c>
      <c r="M4" s="13" t="s">
        <v>39</v>
      </c>
      <c r="N4" s="13" t="s">
        <v>39</v>
      </c>
      <c r="O4" s="13" t="s">
        <v>39</v>
      </c>
      <c r="P4" s="13" t="s">
        <v>39</v>
      </c>
      <c r="Q4" s="13" t="s">
        <v>39</v>
      </c>
      <c r="R4" s="13" t="s">
        <v>39</v>
      </c>
      <c r="S4" s="13" t="s">
        <v>39</v>
      </c>
      <c r="T4" s="13" t="s">
        <v>39</v>
      </c>
      <c r="U4" s="13" t="s">
        <v>39</v>
      </c>
      <c r="V4" s="13" t="s">
        <v>39</v>
      </c>
      <c r="W4" s="13" t="s">
        <v>39</v>
      </c>
      <c r="X4" s="13" t="s">
        <v>46</v>
      </c>
      <c r="Y4" s="13" t="s">
        <v>39</v>
      </c>
      <c r="Z4" s="13" t="s">
        <v>39</v>
      </c>
      <c r="AA4" s="13" t="s">
        <v>39</v>
      </c>
      <c r="AB4" s="13" t="s">
        <v>39</v>
      </c>
      <c r="AC4" s="13" t="s">
        <v>39</v>
      </c>
      <c r="AD4" s="13" t="s">
        <v>39</v>
      </c>
      <c r="AE4" s="13" t="s">
        <v>39</v>
      </c>
      <c r="AF4" s="13" t="s">
        <v>39</v>
      </c>
      <c r="AG4" s="13" t="s">
        <v>39</v>
      </c>
      <c r="AH4" s="13" t="s">
        <v>39</v>
      </c>
      <c r="AI4" s="13"/>
      <c r="AJ4" s="13"/>
      <c r="AK4" s="13"/>
      <c r="AL4" s="13"/>
      <c r="AM4" s="13"/>
      <c r="AN4" s="14">
        <f>SUMIF(K4:AH4,"X",K3:AH3)</f>
        <v>4108000</v>
      </c>
    </row>
  </sheetData>
  <mergeCells count="12">
    <mergeCell ref="AN1:AN3"/>
    <mergeCell ref="P3:Q3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NGUYỄN THỊ MỸ DIỄM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LAI QUANG CHUNG</dc:creator>
  <cp:lastModifiedBy>Hoàng Giang Nguyễn</cp:lastModifiedBy>
  <cp:lastPrinted>2024-05-20T07:54:19Z</cp:lastPrinted>
  <dcterms:created xsi:type="dcterms:W3CDTF">2022-03-17T08:23:25Z</dcterms:created>
  <dcterms:modified xsi:type="dcterms:W3CDTF">2025-05-22T08:18:40Z</dcterms:modified>
</cp:coreProperties>
</file>