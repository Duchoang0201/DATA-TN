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ATA-TN\Hoàng\2025\T5\CÔNG TY TIN HỌC MỸ VIỆT (81-2025)\"/>
    </mc:Choice>
  </mc:AlternateContent>
  <xr:revisionPtr revIDLastSave="0" documentId="13_ncr:1_{56686622-9948-4181-8441-17C6EC45CC2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ổng hợ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T3" i="1" l="1"/>
  <c r="AU5" i="1" l="1"/>
  <c r="AU6" i="1"/>
  <c r="AU7" i="1"/>
  <c r="AU8" i="1"/>
  <c r="AU9" i="1"/>
  <c r="AU10" i="1"/>
  <c r="AU11" i="1"/>
  <c r="AU12" i="1"/>
  <c r="AU14" i="1"/>
  <c r="AU15" i="1"/>
  <c r="AU16" i="1"/>
  <c r="AU17" i="1"/>
  <c r="AU18" i="1"/>
  <c r="AU19" i="1"/>
  <c r="AU20" i="1"/>
  <c r="AU4" i="1"/>
  <c r="AU21" i="1" l="1"/>
</calcChain>
</file>

<file path=xl/sharedStrings.xml><?xml version="1.0" encoding="utf-8"?>
<sst xmlns="http://schemas.openxmlformats.org/spreadsheetml/2006/main" count="824" uniqueCount="108">
  <si>
    <t>Thông tin khách hàng</t>
  </si>
  <si>
    <t>Khám</t>
  </si>
  <si>
    <t>Cận lâm sàng</t>
  </si>
  <si>
    <t>Xét nghiệm</t>
  </si>
  <si>
    <t>Khác</t>
  </si>
  <si>
    <t>STT</t>
  </si>
  <si>
    <t>Họ và tên</t>
  </si>
  <si>
    <t>Ngày sinh</t>
  </si>
  <si>
    <t>Giới tính</t>
  </si>
  <si>
    <t>Mã nhân viên</t>
  </si>
  <si>
    <t>Khám Nội-Khám Sức Khỏe (TT32_BYT)</t>
  </si>
  <si>
    <t>Khám Phụ khoa (KSK)</t>
  </si>
  <si>
    <t>Khám vú</t>
  </si>
  <si>
    <t>Tổng Kết Hồ Sơ Khám Sức Khỏe (TT32_BYT)</t>
  </si>
  <si>
    <t>Chụp cộng hưởng từ vùng chậu có tiêm chất tương phản (gồm: chụp cộng hưởng từ tử cung -phần phụ, tiền liệt tuyến, đại tràng chậu hông, trực tràng, các khối u vùng chậu…)</t>
  </si>
  <si>
    <t>Chụp Cột sống thắt lưng(T+N) (XQ số hóa 1 phim)</t>
  </si>
  <si>
    <t>Chụp X-quang tim phổi kỹ thuật số (hãng Fuji-Nhật)</t>
  </si>
  <si>
    <t>Điện tâm đồ/ECG</t>
  </si>
  <si>
    <t>Đo loãng xương</t>
  </si>
  <si>
    <t>Siêu âm màu Bụng Tổng Quát (Máy GE LOGIQ S7 Expert)</t>
  </si>
  <si>
    <t>Siêu âm màu SPK</t>
  </si>
  <si>
    <t>Siêu âm màu Tuyến Giáp</t>
  </si>
  <si>
    <t>Siêu âm màu Tuyến Vú</t>
  </si>
  <si>
    <t>Siêu âm SPK trên máy E10</t>
  </si>
  <si>
    <t>Anti HBs (ECLIA)</t>
  </si>
  <si>
    <t>CA 125</t>
  </si>
  <si>
    <t>CA 72-4</t>
  </si>
  <si>
    <t>Calci toàn phần</t>
  </si>
  <si>
    <t>Cholesterol TP</t>
  </si>
  <si>
    <t>Định lượng Ca++ máu (Calci ion hoá)</t>
  </si>
  <si>
    <t>Định lượng CREATINIE máu</t>
  </si>
  <si>
    <t>Định lượng GLUCOSE máu</t>
  </si>
  <si>
    <t>Độ lọc cầu thận - eGFR (MDRD)</t>
  </si>
  <si>
    <t>Fe (Định lượng sắt huyết thanh)</t>
  </si>
  <si>
    <t>Ferritin</t>
  </si>
  <si>
    <t>Free T4</t>
  </si>
  <si>
    <t>Gamma GT</t>
  </si>
  <si>
    <t>HDL-Cholesterol</t>
  </si>
  <si>
    <t>Helicobacter Pylori IgM (Elisa)</t>
  </si>
  <si>
    <t>LDL-cholesterol</t>
  </si>
  <si>
    <t>NƯỚC TIỂU 10 THÔNG SỐ (KSK)</t>
  </si>
  <si>
    <t>Soi tươi (Soi trực tiếp nhuộm gram) : Dịch âm đạo</t>
  </si>
  <si>
    <t>Total PSA, Free PSA và Tỷ lệ %</t>
  </si>
  <si>
    <t>Total T3</t>
  </si>
  <si>
    <t>Tổng phân tích tế bào máu bằng máy laser</t>
  </si>
  <si>
    <t>TSH</t>
  </si>
  <si>
    <t>Triglyceride</t>
  </si>
  <si>
    <t>Urea</t>
  </si>
  <si>
    <t>Xét nghiệm HBsAg (ECLIA)</t>
  </si>
  <si>
    <t>Lấy vòng thường</t>
  </si>
  <si>
    <t/>
  </si>
  <si>
    <t>Trần Bá Quốc Hùng</t>
  </si>
  <si>
    <t>27/02/1983</t>
  </si>
  <si>
    <t>Nam</t>
  </si>
  <si>
    <t>VM001</t>
  </si>
  <si>
    <t>X</t>
  </si>
  <si>
    <t>Huỳnh Thị Kim Phúc</t>
  </si>
  <si>
    <t>1990</t>
  </si>
  <si>
    <t>Nữ</t>
  </si>
  <si>
    <t>VM004</t>
  </si>
  <si>
    <t>Nguyễn Thị Chua</t>
  </si>
  <si>
    <t>1963</t>
  </si>
  <si>
    <t>VM005</t>
  </si>
  <si>
    <t>Trần Thị Tuyết Tin</t>
  </si>
  <si>
    <t>1992</t>
  </si>
  <si>
    <t>VM006</t>
  </si>
  <si>
    <t>Phạm Xuân Thanh</t>
  </si>
  <si>
    <t>1991</t>
  </si>
  <si>
    <t>VM007</t>
  </si>
  <si>
    <t>Nguyễn Thị Thùy Trang</t>
  </si>
  <si>
    <t>VM008</t>
  </si>
  <si>
    <t>Trần Uyên Nhi</t>
  </si>
  <si>
    <t>2009</t>
  </si>
  <si>
    <t>VM010</t>
  </si>
  <si>
    <t>Đặng Thị Linh</t>
  </si>
  <si>
    <t>30/10/1986</t>
  </si>
  <si>
    <t>VM011</t>
  </si>
  <si>
    <t>Nguyễn Thị Kim Thoa</t>
  </si>
  <si>
    <t>1965</t>
  </si>
  <si>
    <t>VM013</t>
  </si>
  <si>
    <t>Bùi Văn Dần</t>
  </si>
  <si>
    <t>1962</t>
  </si>
  <si>
    <t>VM014</t>
  </si>
  <si>
    <t>Phan Thị Hoài Thương</t>
  </si>
  <si>
    <t>VM002</t>
  </si>
  <si>
    <t>Nguyễn Thị Ly Na</t>
  </si>
  <si>
    <t>1983</t>
  </si>
  <si>
    <t>VM009</t>
  </si>
  <si>
    <t>Vũ Thị Nga</t>
  </si>
  <si>
    <t>1984</t>
  </si>
  <si>
    <t>VM012</t>
  </si>
  <si>
    <t>Trần Bá Gia Huân</t>
  </si>
  <si>
    <t>2015</t>
  </si>
  <si>
    <t>VM015</t>
  </si>
  <si>
    <t>Lê Vũ Uyên Thư</t>
  </si>
  <si>
    <t>2018</t>
  </si>
  <si>
    <t>VM016</t>
  </si>
  <si>
    <t>Lê Vũ Tuệ Ngân</t>
  </si>
  <si>
    <t>2022</t>
  </si>
  <si>
    <t>VM017</t>
  </si>
  <si>
    <t>Bùi Thị Hải Nhi</t>
  </si>
  <si>
    <t>VM003</t>
  </si>
  <si>
    <t>Ưu đãi trong gói khám</t>
  </si>
  <si>
    <t>CHI PHÍ</t>
  </si>
  <si>
    <t>ALT (SGPT), AST (SGOT)</t>
  </si>
  <si>
    <t>Đơn giá (VND)</t>
  </si>
  <si>
    <t>NOTE</t>
  </si>
  <si>
    <t>KHÔNG KHÁM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</si>
</sst>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sz val="11"/>
      <name val="Times New Roman"/>
      <family val="1"/>
    </font>
    <font>
      <b/>
      <sz val="11"/>
      <name val="Times New Roman"/>
      <family val="1"/>
    </font>
    <font>
      <b/>
      <sz val="11"/>
      <name val="Times New Roman"/>
      <family val="1"/>
    </font>
    <font>
      <b/>
      <sz val="14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4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1" fillId="0" borderId="4" xfId="0" applyFont="1" applyBorder="1" applyAlignment="1">
      <alignment vertical="top"/>
    </xf>
    <xf numFmtId="0" fontId="2" fillId="0" borderId="1" xfId="0" applyFont="1" applyBorder="1"/>
    <xf numFmtId="3" fontId="2" fillId="0" borderId="2" xfId="0" applyNumberFormat="1" applyFont="1" applyBorder="1" applyAlignment="1">
      <alignment horizontal="center" vertical="center" wrapText="1"/>
    </xf>
    <xf numFmtId="3" fontId="0" fillId="0" borderId="0" xfId="0" applyNumberFormat="1" applyAlignment="1">
      <alignment horizontal="center" vertical="center"/>
    </xf>
    <xf numFmtId="3" fontId="3" fillId="0" borderId="4" xfId="0" applyNumberFormat="1" applyFont="1" applyBorder="1" applyAlignment="1">
      <alignment vertical="center"/>
    </xf>
    <xf numFmtId="3" fontId="2" fillId="0" borderId="2" xfId="0" applyNumberFormat="1" applyFont="1" applyBorder="1" applyAlignment="1">
      <alignment vertical="center" wrapText="1"/>
    </xf>
    <xf numFmtId="0" fontId="3" fillId="0" borderId="2" xfId="0" applyFont="1" applyBorder="1" applyAlignment="1">
      <alignment vertical="top" wrapText="1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3" fontId="4" fillId="0" borderId="4" xfId="0" applyNumberFormat="1" applyFont="1" applyBorder="1" applyAlignment="1">
      <alignment vertical="center"/>
    </xf>
    <xf numFmtId="0" fontId="2" fillId="0" borderId="3" xfId="0" applyFont="1" applyBorder="1" applyAlignment="1">
      <alignment horizontal="center" vertical="center" wrapText="1"/>
    </xf>
    <xf numFmtId="3" fontId="2" fillId="0" borderId="4" xfId="0" applyNumberFormat="1" applyFont="1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vertical="top" wrapText="1"/>
    </xf>
    <xf numFmtId="0" fontId="2" fillId="0" borderId="1" xfId="0" applyFont="1" applyBorder="1"/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21"/>
  <sheetViews>
    <sheetView tabSelected="1" zoomScale="70" zoomScaleNormal="70" workbookViewId="0">
      <pane xSplit="5" ySplit="3" topLeftCell="AK4" activePane="bottomRight" state="frozen"/>
      <selection pane="topRight" activeCell="F1" sqref="F1"/>
      <selection pane="bottomLeft" activeCell="A4" sqref="A4"/>
      <selection pane="bottomRight" activeCell="AV7" sqref="AV7"/>
    </sheetView>
  </sheetViews>
  <sheetFormatPr defaultRowHeight="15" x14ac:dyDescent="0.25"/>
  <cols>
    <col min="2" max="2" width="25" customWidth="1"/>
    <col min="3" max="3" width="10" customWidth="1"/>
    <col min="5" max="9" width="15" customWidth="1"/>
    <col min="10" max="10" width="20.5703125" customWidth="1"/>
    <col min="11" max="46" width="15" customWidth="1"/>
    <col min="47" max="48" width="18" bestFit="1" customWidth="1"/>
  </cols>
  <sheetData>
    <row r="1" spans="1:48" x14ac:dyDescent="0.25">
      <c r="A1" s="17" t="s">
        <v>0</v>
      </c>
      <c r="B1" s="18"/>
      <c r="C1" s="18"/>
      <c r="D1" s="18"/>
      <c r="E1" s="18"/>
      <c r="F1" s="17" t="s">
        <v>1</v>
      </c>
      <c r="G1" s="18"/>
      <c r="H1" s="18"/>
      <c r="I1" s="18"/>
      <c r="J1" s="17" t="s">
        <v>2</v>
      </c>
      <c r="K1" s="18"/>
      <c r="L1" s="18"/>
      <c r="M1" s="18"/>
      <c r="N1" s="18"/>
      <c r="O1" s="18"/>
      <c r="P1" s="18"/>
      <c r="Q1" s="18"/>
      <c r="R1" s="18"/>
      <c r="S1" s="18"/>
      <c r="T1" s="2" t="s">
        <v>3</v>
      </c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2" t="s">
        <v>4</v>
      </c>
    </row>
    <row r="2" spans="1:48" ht="142.5" x14ac:dyDescent="0.25">
      <c r="A2" s="13" t="s">
        <v>5</v>
      </c>
      <c r="B2" s="13" t="s">
        <v>6</v>
      </c>
      <c r="C2" s="13" t="s">
        <v>7</v>
      </c>
      <c r="D2" s="13" t="s">
        <v>8</v>
      </c>
      <c r="E2" s="13" t="s">
        <v>9</v>
      </c>
      <c r="F2" s="2" t="s">
        <v>10</v>
      </c>
      <c r="G2" s="2" t="s">
        <v>11</v>
      </c>
      <c r="H2" s="2" t="s">
        <v>12</v>
      </c>
      <c r="I2" s="2" t="s">
        <v>13</v>
      </c>
      <c r="J2" s="2" t="s">
        <v>14</v>
      </c>
      <c r="K2" s="2" t="s">
        <v>15</v>
      </c>
      <c r="L2" s="2" t="s">
        <v>16</v>
      </c>
      <c r="M2" s="2" t="s">
        <v>17</v>
      </c>
      <c r="N2" s="2" t="s">
        <v>18</v>
      </c>
      <c r="O2" s="2" t="s">
        <v>19</v>
      </c>
      <c r="P2" s="2" t="s">
        <v>20</v>
      </c>
      <c r="Q2" s="2" t="s">
        <v>21</v>
      </c>
      <c r="R2" s="2" t="s">
        <v>22</v>
      </c>
      <c r="S2" s="2" t="s">
        <v>23</v>
      </c>
      <c r="T2" s="9" t="s">
        <v>104</v>
      </c>
      <c r="U2" s="2" t="s">
        <v>24</v>
      </c>
      <c r="V2" s="2" t="s">
        <v>25</v>
      </c>
      <c r="W2" s="2" t="s">
        <v>26</v>
      </c>
      <c r="X2" s="2" t="s">
        <v>27</v>
      </c>
      <c r="Y2" s="2" t="s">
        <v>39</v>
      </c>
      <c r="Z2" s="2" t="s">
        <v>37</v>
      </c>
      <c r="AA2" s="2" t="s">
        <v>46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36</v>
      </c>
      <c r="AK2" s="2" t="s">
        <v>38</v>
      </c>
      <c r="AL2" s="2" t="s">
        <v>40</v>
      </c>
      <c r="AM2" s="2" t="s">
        <v>41</v>
      </c>
      <c r="AN2" s="2" t="s">
        <v>42</v>
      </c>
      <c r="AO2" s="2" t="s">
        <v>43</v>
      </c>
      <c r="AP2" s="2" t="s">
        <v>44</v>
      </c>
      <c r="AQ2" s="2" t="s">
        <v>45</v>
      </c>
      <c r="AR2" s="2" t="s">
        <v>47</v>
      </c>
      <c r="AS2" s="2" t="s">
        <v>48</v>
      </c>
      <c r="AT2" s="2" t="s">
        <v>49</v>
      </c>
      <c r="AU2" s="16" t="s">
        <v>103</v>
      </c>
      <c r="AV2" s="15" t="s">
        <v>106</v>
      </c>
    </row>
    <row r="3" spans="1:48" s="6" customFormat="1" ht="46.5" customHeight="1" x14ac:dyDescent="0.25">
      <c r="A3" s="19" t="s">
        <v>105</v>
      </c>
      <c r="B3" s="20"/>
      <c r="C3" s="20"/>
      <c r="D3" s="20"/>
      <c r="E3" s="21"/>
      <c r="F3" s="5">
        <v>50000</v>
      </c>
      <c r="G3" s="5" t="s">
        <v>102</v>
      </c>
      <c r="H3" s="5" t="s">
        <v>102</v>
      </c>
      <c r="I3" s="5" t="s">
        <v>102</v>
      </c>
      <c r="J3" s="5">
        <v>4530000</v>
      </c>
      <c r="K3" s="5">
        <v>141300</v>
      </c>
      <c r="L3" s="5">
        <v>91800</v>
      </c>
      <c r="M3" s="5">
        <v>70000</v>
      </c>
      <c r="N3" s="5">
        <v>196100</v>
      </c>
      <c r="O3" s="5">
        <v>155000</v>
      </c>
      <c r="P3" s="5">
        <v>168300</v>
      </c>
      <c r="Q3" s="5">
        <v>155000</v>
      </c>
      <c r="R3" s="5">
        <v>155000</v>
      </c>
      <c r="S3" s="5">
        <v>168300</v>
      </c>
      <c r="T3" s="8">
        <v>54000</v>
      </c>
      <c r="U3" s="5">
        <v>125100</v>
      </c>
      <c r="V3" s="5">
        <v>207900</v>
      </c>
      <c r="W3" s="5">
        <v>207900</v>
      </c>
      <c r="X3" s="5">
        <v>18000</v>
      </c>
      <c r="Y3" s="5">
        <v>53100</v>
      </c>
      <c r="Z3" s="5">
        <v>36900</v>
      </c>
      <c r="AA3" s="5">
        <v>36900</v>
      </c>
      <c r="AB3" s="5">
        <v>42300</v>
      </c>
      <c r="AC3" s="5">
        <v>27000</v>
      </c>
      <c r="AD3" s="5">
        <v>36900</v>
      </c>
      <c r="AE3" s="5">
        <v>24300</v>
      </c>
      <c r="AF3" s="5">
        <v>36900</v>
      </c>
      <c r="AG3" s="5">
        <v>63900</v>
      </c>
      <c r="AH3" s="5">
        <v>124200</v>
      </c>
      <c r="AI3" s="5">
        <v>123300</v>
      </c>
      <c r="AJ3" s="5">
        <v>36900</v>
      </c>
      <c r="AK3" s="5">
        <v>225000</v>
      </c>
      <c r="AL3" s="5">
        <v>53100</v>
      </c>
      <c r="AM3" s="5">
        <v>64800</v>
      </c>
      <c r="AN3" s="5">
        <v>261000</v>
      </c>
      <c r="AO3" s="5">
        <v>187200</v>
      </c>
      <c r="AP3" s="5">
        <v>67500</v>
      </c>
      <c r="AQ3" s="5">
        <v>123300</v>
      </c>
      <c r="AR3" s="5">
        <v>36900</v>
      </c>
      <c r="AS3" s="5">
        <v>110700</v>
      </c>
      <c r="AT3" s="5">
        <f>176000</f>
        <v>176000</v>
      </c>
      <c r="AU3" s="16"/>
      <c r="AV3" s="16"/>
    </row>
    <row r="4" spans="1:48" ht="30" x14ac:dyDescent="0.25">
      <c r="A4" s="3">
        <v>1</v>
      </c>
      <c r="B4" s="1" t="s">
        <v>51</v>
      </c>
      <c r="C4" s="1" t="s">
        <v>52</v>
      </c>
      <c r="D4" s="1" t="s">
        <v>53</v>
      </c>
      <c r="E4" s="1" t="s">
        <v>54</v>
      </c>
      <c r="F4" s="10" t="s">
        <v>55</v>
      </c>
      <c r="G4" s="10" t="s">
        <v>50</v>
      </c>
      <c r="H4" s="10" t="s">
        <v>50</v>
      </c>
      <c r="I4" s="10" t="s">
        <v>55</v>
      </c>
      <c r="J4" s="10" t="s">
        <v>50</v>
      </c>
      <c r="K4" s="10" t="s">
        <v>50</v>
      </c>
      <c r="L4" s="10" t="s">
        <v>50</v>
      </c>
      <c r="M4" s="10" t="s">
        <v>50</v>
      </c>
      <c r="N4" s="10" t="s">
        <v>50</v>
      </c>
      <c r="O4" s="10" t="s">
        <v>55</v>
      </c>
      <c r="P4" s="10" t="s">
        <v>50</v>
      </c>
      <c r="Q4" s="10" t="s">
        <v>55</v>
      </c>
      <c r="R4" s="10" t="s">
        <v>50</v>
      </c>
      <c r="S4" s="10" t="s">
        <v>50</v>
      </c>
      <c r="T4" s="10" t="s">
        <v>55</v>
      </c>
      <c r="U4" s="10" t="s">
        <v>50</v>
      </c>
      <c r="V4" s="10" t="s">
        <v>50</v>
      </c>
      <c r="W4" s="10" t="s">
        <v>55</v>
      </c>
      <c r="X4" s="10" t="s">
        <v>50</v>
      </c>
      <c r="Y4" s="10" t="s">
        <v>55</v>
      </c>
      <c r="Z4" s="10" t="s">
        <v>55</v>
      </c>
      <c r="AA4" s="10" t="s">
        <v>55</v>
      </c>
      <c r="AB4" s="10" t="s">
        <v>55</v>
      </c>
      <c r="AC4" s="10" t="s">
        <v>50</v>
      </c>
      <c r="AD4" s="10" t="s">
        <v>55</v>
      </c>
      <c r="AE4" s="10" t="s">
        <v>55</v>
      </c>
      <c r="AF4" s="10" t="s">
        <v>50</v>
      </c>
      <c r="AG4" s="10" t="s">
        <v>50</v>
      </c>
      <c r="AH4" s="10" t="s">
        <v>50</v>
      </c>
      <c r="AI4" s="10" t="s">
        <v>50</v>
      </c>
      <c r="AJ4" s="10" t="s">
        <v>55</v>
      </c>
      <c r="AK4" s="10" t="s">
        <v>50</v>
      </c>
      <c r="AL4" s="10" t="s">
        <v>55</v>
      </c>
      <c r="AM4" s="10" t="s">
        <v>50</v>
      </c>
      <c r="AN4" s="10" t="s">
        <v>55</v>
      </c>
      <c r="AO4" s="10" t="s">
        <v>50</v>
      </c>
      <c r="AP4" s="10" t="s">
        <v>55</v>
      </c>
      <c r="AQ4" s="10" t="s">
        <v>50</v>
      </c>
      <c r="AR4" s="10" t="s">
        <v>50</v>
      </c>
      <c r="AS4" s="10" t="s">
        <v>50</v>
      </c>
      <c r="AT4" s="11" t="s">
        <v>50</v>
      </c>
      <c r="AU4" s="7">
        <f t="shared" ref="AU4:AU12" si="0">SUMIF(F4:AT4,"X",$F$3:$AT$3)</f>
        <v>1270800</v>
      </c>
      <c r="AV4" s="7"/>
    </row>
    <row r="5" spans="1:48" x14ac:dyDescent="0.25">
      <c r="A5" s="3">
        <v>2</v>
      </c>
      <c r="B5" s="1" t="s">
        <v>56</v>
      </c>
      <c r="C5" s="1" t="s">
        <v>57</v>
      </c>
      <c r="D5" s="1" t="s">
        <v>58</v>
      </c>
      <c r="E5" s="1" t="s">
        <v>59</v>
      </c>
      <c r="F5" s="10" t="s">
        <v>55</v>
      </c>
      <c r="G5" s="10" t="s">
        <v>55</v>
      </c>
      <c r="H5" s="10" t="s">
        <v>55</v>
      </c>
      <c r="I5" s="10" t="s">
        <v>55</v>
      </c>
      <c r="J5" s="10" t="s">
        <v>50</v>
      </c>
      <c r="K5" s="10" t="s">
        <v>55</v>
      </c>
      <c r="L5" s="10" t="s">
        <v>50</v>
      </c>
      <c r="M5" s="10" t="s">
        <v>50</v>
      </c>
      <c r="N5" s="10" t="s">
        <v>50</v>
      </c>
      <c r="O5" s="10" t="s">
        <v>55</v>
      </c>
      <c r="P5" s="10" t="s">
        <v>50</v>
      </c>
      <c r="Q5" s="10" t="s">
        <v>55</v>
      </c>
      <c r="R5" s="10" t="s">
        <v>55</v>
      </c>
      <c r="S5" s="10" t="s">
        <v>55</v>
      </c>
      <c r="T5" s="10" t="s">
        <v>50</v>
      </c>
      <c r="U5" s="10" t="s">
        <v>50</v>
      </c>
      <c r="V5" s="10" t="s">
        <v>50</v>
      </c>
      <c r="W5" s="10" t="s">
        <v>50</v>
      </c>
      <c r="X5" s="10" t="s">
        <v>50</v>
      </c>
      <c r="Y5" s="10" t="s">
        <v>55</v>
      </c>
      <c r="Z5" s="10" t="s">
        <v>55</v>
      </c>
      <c r="AA5" s="10" t="s">
        <v>55</v>
      </c>
      <c r="AB5" s="10" t="s">
        <v>55</v>
      </c>
      <c r="AC5" s="10" t="s">
        <v>50</v>
      </c>
      <c r="AD5" s="10" t="s">
        <v>50</v>
      </c>
      <c r="AE5" s="10" t="s">
        <v>50</v>
      </c>
      <c r="AF5" s="10" t="s">
        <v>50</v>
      </c>
      <c r="AG5" s="10" t="s">
        <v>50</v>
      </c>
      <c r="AH5" s="10" t="s">
        <v>50</v>
      </c>
      <c r="AI5" s="10" t="s">
        <v>55</v>
      </c>
      <c r="AJ5" s="10" t="s">
        <v>50</v>
      </c>
      <c r="AK5" s="10" t="s">
        <v>50</v>
      </c>
      <c r="AL5" s="10" t="s">
        <v>55</v>
      </c>
      <c r="AM5" s="10" t="s">
        <v>50</v>
      </c>
      <c r="AN5" s="10" t="s">
        <v>50</v>
      </c>
      <c r="AO5" s="10" t="s">
        <v>55</v>
      </c>
      <c r="AP5" s="10" t="s">
        <v>50</v>
      </c>
      <c r="AQ5" s="10" t="s">
        <v>55</v>
      </c>
      <c r="AR5" s="10" t="s">
        <v>50</v>
      </c>
      <c r="AS5" s="10" t="s">
        <v>50</v>
      </c>
      <c r="AT5" s="11" t="s">
        <v>50</v>
      </c>
      <c r="AU5" s="7">
        <f t="shared" si="0"/>
        <v>1480700</v>
      </c>
      <c r="AV5" s="7"/>
    </row>
    <row r="6" spans="1:48" x14ac:dyDescent="0.25">
      <c r="A6" s="3">
        <v>3</v>
      </c>
      <c r="B6" s="1" t="s">
        <v>60</v>
      </c>
      <c r="C6" s="1" t="s">
        <v>61</v>
      </c>
      <c r="D6" s="1" t="s">
        <v>58</v>
      </c>
      <c r="E6" s="1" t="s">
        <v>62</v>
      </c>
      <c r="F6" s="10" t="s">
        <v>55</v>
      </c>
      <c r="G6" s="10" t="s">
        <v>55</v>
      </c>
      <c r="H6" s="10" t="s">
        <v>55</v>
      </c>
      <c r="I6" s="10" t="s">
        <v>55</v>
      </c>
      <c r="J6" s="10" t="s">
        <v>50</v>
      </c>
      <c r="K6" s="10" t="s">
        <v>50</v>
      </c>
      <c r="L6" s="10" t="s">
        <v>55</v>
      </c>
      <c r="M6" s="10" t="s">
        <v>55</v>
      </c>
      <c r="N6" s="10" t="s">
        <v>55</v>
      </c>
      <c r="O6" s="10" t="s">
        <v>55</v>
      </c>
      <c r="P6" s="10" t="s">
        <v>50</v>
      </c>
      <c r="Q6" s="10" t="s">
        <v>50</v>
      </c>
      <c r="R6" s="10" t="s">
        <v>55</v>
      </c>
      <c r="S6" s="10" t="s">
        <v>50</v>
      </c>
      <c r="T6" s="10" t="s">
        <v>55</v>
      </c>
      <c r="U6" s="10" t="s">
        <v>50</v>
      </c>
      <c r="V6" s="10" t="s">
        <v>50</v>
      </c>
      <c r="W6" s="10" t="s">
        <v>50</v>
      </c>
      <c r="X6" s="10" t="s">
        <v>50</v>
      </c>
      <c r="Y6" s="10" t="s">
        <v>55</v>
      </c>
      <c r="Z6" s="10" t="s">
        <v>55</v>
      </c>
      <c r="AA6" s="10" t="s">
        <v>55</v>
      </c>
      <c r="AB6" s="10" t="s">
        <v>55</v>
      </c>
      <c r="AC6" s="10" t="s">
        <v>50</v>
      </c>
      <c r="AD6" s="10" t="s">
        <v>55</v>
      </c>
      <c r="AE6" s="10" t="s">
        <v>55</v>
      </c>
      <c r="AF6" s="10" t="s">
        <v>55</v>
      </c>
      <c r="AG6" s="10" t="s">
        <v>50</v>
      </c>
      <c r="AH6" s="10" t="s">
        <v>50</v>
      </c>
      <c r="AI6" s="10" t="s">
        <v>50</v>
      </c>
      <c r="AJ6" s="10" t="s">
        <v>50</v>
      </c>
      <c r="AK6" s="10" t="s">
        <v>50</v>
      </c>
      <c r="AL6" s="10" t="s">
        <v>55</v>
      </c>
      <c r="AM6" s="10" t="s">
        <v>50</v>
      </c>
      <c r="AN6" s="10" t="s">
        <v>50</v>
      </c>
      <c r="AO6" s="10" t="s">
        <v>50</v>
      </c>
      <c r="AP6" s="10" t="s">
        <v>55</v>
      </c>
      <c r="AQ6" s="10" t="s">
        <v>50</v>
      </c>
      <c r="AR6" s="10" t="s">
        <v>55</v>
      </c>
      <c r="AS6" s="10" t="s">
        <v>50</v>
      </c>
      <c r="AT6" s="11" t="s">
        <v>50</v>
      </c>
      <c r="AU6" s="7">
        <f t="shared" si="0"/>
        <v>1196700</v>
      </c>
      <c r="AV6" s="7"/>
    </row>
    <row r="7" spans="1:48" x14ac:dyDescent="0.25">
      <c r="A7" s="3">
        <v>4</v>
      </c>
      <c r="B7" s="1" t="s">
        <v>63</v>
      </c>
      <c r="C7" s="1" t="s">
        <v>64</v>
      </c>
      <c r="D7" s="1" t="s">
        <v>58</v>
      </c>
      <c r="E7" s="1" t="s">
        <v>65</v>
      </c>
      <c r="F7" s="10" t="s">
        <v>55</v>
      </c>
      <c r="G7" s="10" t="s">
        <v>55</v>
      </c>
      <c r="H7" s="10" t="s">
        <v>55</v>
      </c>
      <c r="I7" s="10" t="s">
        <v>55</v>
      </c>
      <c r="J7" s="10" t="s">
        <v>50</v>
      </c>
      <c r="K7" s="10" t="s">
        <v>50</v>
      </c>
      <c r="L7" s="10" t="s">
        <v>55</v>
      </c>
      <c r="M7" s="10" t="s">
        <v>50</v>
      </c>
      <c r="N7" s="10" t="s">
        <v>50</v>
      </c>
      <c r="O7" s="10" t="s">
        <v>55</v>
      </c>
      <c r="P7" s="10" t="s">
        <v>50</v>
      </c>
      <c r="Q7" s="10" t="s">
        <v>55</v>
      </c>
      <c r="R7" s="10" t="s">
        <v>55</v>
      </c>
      <c r="S7" s="10" t="s">
        <v>55</v>
      </c>
      <c r="T7" s="10" t="s">
        <v>55</v>
      </c>
      <c r="U7" s="10" t="s">
        <v>50</v>
      </c>
      <c r="V7" s="10" t="s">
        <v>50</v>
      </c>
      <c r="W7" s="10" t="s">
        <v>50</v>
      </c>
      <c r="X7" s="10" t="s">
        <v>50</v>
      </c>
      <c r="Y7" s="10" t="s">
        <v>55</v>
      </c>
      <c r="Z7" s="10" t="s">
        <v>55</v>
      </c>
      <c r="AA7" s="10" t="s">
        <v>55</v>
      </c>
      <c r="AB7" s="10" t="s">
        <v>55</v>
      </c>
      <c r="AC7" s="10" t="s">
        <v>50</v>
      </c>
      <c r="AD7" s="10" t="s">
        <v>55</v>
      </c>
      <c r="AE7" s="10" t="s">
        <v>55</v>
      </c>
      <c r="AF7" s="10" t="s">
        <v>50</v>
      </c>
      <c r="AG7" s="10" t="s">
        <v>50</v>
      </c>
      <c r="AH7" s="10" t="s">
        <v>50</v>
      </c>
      <c r="AI7" s="10" t="s">
        <v>50</v>
      </c>
      <c r="AJ7" s="10" t="s">
        <v>50</v>
      </c>
      <c r="AK7" s="10" t="s">
        <v>50</v>
      </c>
      <c r="AL7" s="10" t="s">
        <v>55</v>
      </c>
      <c r="AM7" s="10" t="s">
        <v>55</v>
      </c>
      <c r="AN7" s="10" t="s">
        <v>50</v>
      </c>
      <c r="AO7" s="10" t="s">
        <v>50</v>
      </c>
      <c r="AP7" s="10" t="s">
        <v>55</v>
      </c>
      <c r="AQ7" s="10" t="s">
        <v>50</v>
      </c>
      <c r="AR7" s="10" t="s">
        <v>50</v>
      </c>
      <c r="AS7" s="10" t="s">
        <v>50</v>
      </c>
      <c r="AT7" s="11" t="s">
        <v>50</v>
      </c>
      <c r="AU7" s="7">
        <f t="shared" si="0"/>
        <v>1244900</v>
      </c>
      <c r="AV7" s="7"/>
    </row>
    <row r="8" spans="1:48" x14ac:dyDescent="0.25">
      <c r="A8" s="3">
        <v>5</v>
      </c>
      <c r="B8" s="1" t="s">
        <v>66</v>
      </c>
      <c r="C8" s="1" t="s">
        <v>67</v>
      </c>
      <c r="D8" s="1" t="s">
        <v>53</v>
      </c>
      <c r="E8" s="1" t="s">
        <v>68</v>
      </c>
      <c r="F8" s="10" t="s">
        <v>55</v>
      </c>
      <c r="G8" s="10" t="s">
        <v>50</v>
      </c>
      <c r="H8" s="10" t="s">
        <v>50</v>
      </c>
      <c r="I8" s="10" t="s">
        <v>55</v>
      </c>
      <c r="J8" s="10" t="s">
        <v>50</v>
      </c>
      <c r="K8" s="10" t="s">
        <v>50</v>
      </c>
      <c r="L8" s="10" t="s">
        <v>55</v>
      </c>
      <c r="M8" s="10" t="s">
        <v>50</v>
      </c>
      <c r="N8" s="10" t="s">
        <v>50</v>
      </c>
      <c r="O8" s="10" t="s">
        <v>55</v>
      </c>
      <c r="P8" s="10" t="s">
        <v>50</v>
      </c>
      <c r="Q8" s="10" t="s">
        <v>55</v>
      </c>
      <c r="R8" s="10" t="s">
        <v>50</v>
      </c>
      <c r="S8" s="10" t="s">
        <v>50</v>
      </c>
      <c r="T8" s="10" t="s">
        <v>55</v>
      </c>
      <c r="U8" s="10" t="s">
        <v>50</v>
      </c>
      <c r="V8" s="10" t="s">
        <v>50</v>
      </c>
      <c r="W8" s="10" t="s">
        <v>50</v>
      </c>
      <c r="X8" s="10" t="s">
        <v>50</v>
      </c>
      <c r="Y8" s="10" t="s">
        <v>55</v>
      </c>
      <c r="Z8" s="10" t="s">
        <v>55</v>
      </c>
      <c r="AA8" s="10" t="s">
        <v>55</v>
      </c>
      <c r="AB8" s="10" t="s">
        <v>55</v>
      </c>
      <c r="AC8" s="10" t="s">
        <v>50</v>
      </c>
      <c r="AD8" s="10" t="s">
        <v>55</v>
      </c>
      <c r="AE8" s="10" t="s">
        <v>55</v>
      </c>
      <c r="AF8" s="10" t="s">
        <v>50</v>
      </c>
      <c r="AG8" s="10" t="s">
        <v>50</v>
      </c>
      <c r="AH8" s="10" t="s">
        <v>50</v>
      </c>
      <c r="AI8" s="10" t="s">
        <v>50</v>
      </c>
      <c r="AJ8" s="10" t="s">
        <v>55</v>
      </c>
      <c r="AK8" s="10" t="s">
        <v>50</v>
      </c>
      <c r="AL8" s="10" t="s">
        <v>55</v>
      </c>
      <c r="AM8" s="10" t="s">
        <v>50</v>
      </c>
      <c r="AN8" s="10" t="s">
        <v>50</v>
      </c>
      <c r="AO8" s="10" t="s">
        <v>50</v>
      </c>
      <c r="AP8" s="10" t="s">
        <v>55</v>
      </c>
      <c r="AQ8" s="10" t="s">
        <v>50</v>
      </c>
      <c r="AR8" s="10" t="s">
        <v>55</v>
      </c>
      <c r="AS8" s="10" t="s">
        <v>50</v>
      </c>
      <c r="AT8" s="11" t="s">
        <v>50</v>
      </c>
      <c r="AU8" s="7">
        <f t="shared" si="0"/>
        <v>930600</v>
      </c>
      <c r="AV8" s="7"/>
    </row>
    <row r="9" spans="1:48" x14ac:dyDescent="0.25">
      <c r="A9" s="3">
        <v>6</v>
      </c>
      <c r="B9" s="1" t="s">
        <v>69</v>
      </c>
      <c r="C9" s="1" t="s">
        <v>67</v>
      </c>
      <c r="D9" s="1" t="s">
        <v>58</v>
      </c>
      <c r="E9" s="1" t="s">
        <v>70</v>
      </c>
      <c r="F9" s="10" t="s">
        <v>55</v>
      </c>
      <c r="G9" s="10" t="s">
        <v>55</v>
      </c>
      <c r="H9" s="10" t="s">
        <v>55</v>
      </c>
      <c r="I9" s="10" t="s">
        <v>55</v>
      </c>
      <c r="J9" s="10" t="s">
        <v>50</v>
      </c>
      <c r="K9" s="10" t="s">
        <v>50</v>
      </c>
      <c r="L9" s="10" t="s">
        <v>55</v>
      </c>
      <c r="M9" s="10" t="s">
        <v>50</v>
      </c>
      <c r="N9" s="10" t="s">
        <v>50</v>
      </c>
      <c r="O9" s="10" t="s">
        <v>55</v>
      </c>
      <c r="P9" s="10" t="s">
        <v>50</v>
      </c>
      <c r="Q9" s="10" t="s">
        <v>55</v>
      </c>
      <c r="R9" s="10" t="s">
        <v>50</v>
      </c>
      <c r="S9" s="10" t="s">
        <v>55</v>
      </c>
      <c r="T9" s="10" t="s">
        <v>55</v>
      </c>
      <c r="U9" s="10" t="s">
        <v>50</v>
      </c>
      <c r="V9" s="10" t="s">
        <v>50</v>
      </c>
      <c r="W9" s="10" t="s">
        <v>50</v>
      </c>
      <c r="X9" s="10" t="s">
        <v>50</v>
      </c>
      <c r="Y9" s="10" t="s">
        <v>55</v>
      </c>
      <c r="Z9" s="10" t="s">
        <v>55</v>
      </c>
      <c r="AA9" s="10" t="s">
        <v>55</v>
      </c>
      <c r="AB9" s="10" t="s">
        <v>55</v>
      </c>
      <c r="AC9" s="10" t="s">
        <v>50</v>
      </c>
      <c r="AD9" s="10" t="s">
        <v>55</v>
      </c>
      <c r="AE9" s="10" t="s">
        <v>55</v>
      </c>
      <c r="AF9" s="10" t="s">
        <v>50</v>
      </c>
      <c r="AG9" s="10" t="s">
        <v>50</v>
      </c>
      <c r="AH9" s="10" t="s">
        <v>50</v>
      </c>
      <c r="AI9" s="10" t="s">
        <v>55</v>
      </c>
      <c r="AJ9" s="10" t="s">
        <v>50</v>
      </c>
      <c r="AK9" s="10" t="s">
        <v>50</v>
      </c>
      <c r="AL9" s="10" t="s">
        <v>55</v>
      </c>
      <c r="AM9" s="10" t="s">
        <v>50</v>
      </c>
      <c r="AN9" s="10" t="s">
        <v>50</v>
      </c>
      <c r="AO9" s="10" t="s">
        <v>55</v>
      </c>
      <c r="AP9" s="10" t="s">
        <v>55</v>
      </c>
      <c r="AQ9" s="10" t="s">
        <v>55</v>
      </c>
      <c r="AR9" s="10" t="s">
        <v>55</v>
      </c>
      <c r="AS9" s="10" t="s">
        <v>50</v>
      </c>
      <c r="AT9" s="11" t="s">
        <v>50</v>
      </c>
      <c r="AU9" s="7">
        <f t="shared" si="0"/>
        <v>1495800</v>
      </c>
      <c r="AV9" s="7"/>
    </row>
    <row r="10" spans="1:48" x14ac:dyDescent="0.25">
      <c r="A10" s="3">
        <v>7</v>
      </c>
      <c r="B10" s="1" t="s">
        <v>71</v>
      </c>
      <c r="C10" s="1" t="s">
        <v>72</v>
      </c>
      <c r="D10" s="1" t="s">
        <v>58</v>
      </c>
      <c r="E10" s="1" t="s">
        <v>73</v>
      </c>
      <c r="F10" s="10" t="s">
        <v>55</v>
      </c>
      <c r="G10" s="10" t="s">
        <v>55</v>
      </c>
      <c r="H10" s="10" t="s">
        <v>50</v>
      </c>
      <c r="I10" s="10" t="s">
        <v>55</v>
      </c>
      <c r="J10" s="10" t="s">
        <v>55</v>
      </c>
      <c r="K10" s="10" t="s">
        <v>50</v>
      </c>
      <c r="L10" s="10" t="s">
        <v>50</v>
      </c>
      <c r="M10" s="10" t="s">
        <v>50</v>
      </c>
      <c r="N10" s="10" t="s">
        <v>50</v>
      </c>
      <c r="O10" s="10" t="s">
        <v>55</v>
      </c>
      <c r="P10" s="10" t="s">
        <v>50</v>
      </c>
      <c r="Q10" s="10" t="s">
        <v>50</v>
      </c>
      <c r="R10" s="10" t="s">
        <v>50</v>
      </c>
      <c r="S10" s="10" t="s">
        <v>50</v>
      </c>
      <c r="T10" s="10" t="s">
        <v>55</v>
      </c>
      <c r="U10" s="10" t="s">
        <v>50</v>
      </c>
      <c r="V10" s="10" t="s">
        <v>55</v>
      </c>
      <c r="W10" s="10" t="s">
        <v>50</v>
      </c>
      <c r="X10" s="10" t="s">
        <v>50</v>
      </c>
      <c r="Y10" s="10" t="s">
        <v>50</v>
      </c>
      <c r="Z10" s="10" t="s">
        <v>50</v>
      </c>
      <c r="AA10" s="10" t="s">
        <v>50</v>
      </c>
      <c r="AB10" s="10" t="s">
        <v>50</v>
      </c>
      <c r="AC10" s="10" t="s">
        <v>50</v>
      </c>
      <c r="AD10" s="10" t="s">
        <v>55</v>
      </c>
      <c r="AE10" s="10" t="s">
        <v>55</v>
      </c>
      <c r="AF10" s="10" t="s">
        <v>50</v>
      </c>
      <c r="AG10" s="10" t="s">
        <v>55</v>
      </c>
      <c r="AH10" s="10" t="s">
        <v>55</v>
      </c>
      <c r="AI10" s="10" t="s">
        <v>50</v>
      </c>
      <c r="AJ10" s="10" t="s">
        <v>50</v>
      </c>
      <c r="AK10" s="10" t="s">
        <v>50</v>
      </c>
      <c r="AL10" s="10" t="s">
        <v>55</v>
      </c>
      <c r="AM10" s="10" t="s">
        <v>50</v>
      </c>
      <c r="AN10" s="10" t="s">
        <v>50</v>
      </c>
      <c r="AO10" s="10" t="s">
        <v>50</v>
      </c>
      <c r="AP10" s="10" t="s">
        <v>55</v>
      </c>
      <c r="AQ10" s="10" t="s">
        <v>50</v>
      </c>
      <c r="AR10" s="10" t="s">
        <v>50</v>
      </c>
      <c r="AS10" s="10" t="s">
        <v>50</v>
      </c>
      <c r="AT10" s="11" t="s">
        <v>50</v>
      </c>
      <c r="AU10" s="7">
        <f t="shared" si="0"/>
        <v>5366800</v>
      </c>
      <c r="AV10" s="7"/>
    </row>
    <row r="11" spans="1:48" ht="30" x14ac:dyDescent="0.25">
      <c r="A11" s="3">
        <v>8</v>
      </c>
      <c r="B11" s="1" t="s">
        <v>74</v>
      </c>
      <c r="C11" s="1" t="s">
        <v>75</v>
      </c>
      <c r="D11" s="1" t="s">
        <v>58</v>
      </c>
      <c r="E11" s="1" t="s">
        <v>76</v>
      </c>
      <c r="F11" s="10" t="s">
        <v>50</v>
      </c>
      <c r="G11" s="10" t="s">
        <v>55</v>
      </c>
      <c r="H11" s="10" t="s">
        <v>55</v>
      </c>
      <c r="I11" s="10" t="s">
        <v>55</v>
      </c>
      <c r="J11" s="10" t="s">
        <v>50</v>
      </c>
      <c r="K11" s="10" t="s">
        <v>50</v>
      </c>
      <c r="L11" s="10" t="s">
        <v>50</v>
      </c>
      <c r="M11" s="10" t="s">
        <v>50</v>
      </c>
      <c r="N11" s="10" t="s">
        <v>50</v>
      </c>
      <c r="O11" s="10" t="s">
        <v>55</v>
      </c>
      <c r="P11" s="10" t="s">
        <v>55</v>
      </c>
      <c r="Q11" s="10" t="s">
        <v>55</v>
      </c>
      <c r="R11" s="10" t="s">
        <v>50</v>
      </c>
      <c r="S11" s="10" t="s">
        <v>50</v>
      </c>
      <c r="T11" s="10" t="s">
        <v>50</v>
      </c>
      <c r="U11" s="10" t="s">
        <v>50</v>
      </c>
      <c r="V11" s="10" t="s">
        <v>50</v>
      </c>
      <c r="W11" s="10" t="s">
        <v>50</v>
      </c>
      <c r="X11" s="10" t="s">
        <v>50</v>
      </c>
      <c r="Y11" s="10" t="s">
        <v>55</v>
      </c>
      <c r="Z11" s="10" t="s">
        <v>55</v>
      </c>
      <c r="AA11" s="10" t="s">
        <v>55</v>
      </c>
      <c r="AB11" s="10" t="s">
        <v>55</v>
      </c>
      <c r="AC11" s="10" t="s">
        <v>50</v>
      </c>
      <c r="AD11" s="10" t="s">
        <v>50</v>
      </c>
      <c r="AE11" s="10" t="s">
        <v>50</v>
      </c>
      <c r="AF11" s="10" t="s">
        <v>50</v>
      </c>
      <c r="AG11" s="10" t="s">
        <v>50</v>
      </c>
      <c r="AH11" s="10" t="s">
        <v>50</v>
      </c>
      <c r="AI11" s="10" t="s">
        <v>50</v>
      </c>
      <c r="AJ11" s="10" t="s">
        <v>50</v>
      </c>
      <c r="AK11" s="10" t="s">
        <v>50</v>
      </c>
      <c r="AL11" s="10" t="s">
        <v>50</v>
      </c>
      <c r="AM11" s="10" t="s">
        <v>55</v>
      </c>
      <c r="AN11" s="10" t="s">
        <v>50</v>
      </c>
      <c r="AO11" s="10" t="s">
        <v>50</v>
      </c>
      <c r="AP11" s="10" t="s">
        <v>50</v>
      </c>
      <c r="AQ11" s="10" t="s">
        <v>50</v>
      </c>
      <c r="AR11" s="10" t="s">
        <v>50</v>
      </c>
      <c r="AS11" s="10" t="s">
        <v>50</v>
      </c>
      <c r="AT11" s="11" t="s">
        <v>55</v>
      </c>
      <c r="AU11" s="7">
        <f t="shared" si="0"/>
        <v>888300</v>
      </c>
      <c r="AV11" s="7"/>
    </row>
    <row r="12" spans="1:48" x14ac:dyDescent="0.25">
      <c r="A12" s="3">
        <v>9</v>
      </c>
      <c r="B12" s="1" t="s">
        <v>77</v>
      </c>
      <c r="C12" s="1" t="s">
        <v>78</v>
      </c>
      <c r="D12" s="1" t="s">
        <v>58</v>
      </c>
      <c r="E12" s="1" t="s">
        <v>79</v>
      </c>
      <c r="F12" s="10" t="s">
        <v>50</v>
      </c>
      <c r="G12" s="10" t="s">
        <v>50</v>
      </c>
      <c r="H12" s="10" t="s">
        <v>50</v>
      </c>
      <c r="I12" s="10" t="s">
        <v>55</v>
      </c>
      <c r="J12" s="10" t="s">
        <v>50</v>
      </c>
      <c r="K12" s="10" t="s">
        <v>50</v>
      </c>
      <c r="L12" s="10" t="s">
        <v>50</v>
      </c>
      <c r="M12" s="10" t="s">
        <v>50</v>
      </c>
      <c r="N12" s="10" t="s">
        <v>50</v>
      </c>
      <c r="O12" s="10" t="s">
        <v>50</v>
      </c>
      <c r="P12" s="10" t="s">
        <v>50</v>
      </c>
      <c r="Q12" s="10" t="s">
        <v>50</v>
      </c>
      <c r="R12" s="10" t="s">
        <v>50</v>
      </c>
      <c r="S12" s="10" t="s">
        <v>50</v>
      </c>
      <c r="T12" s="10" t="s">
        <v>50</v>
      </c>
      <c r="U12" s="10" t="s">
        <v>50</v>
      </c>
      <c r="V12" s="10" t="s">
        <v>50</v>
      </c>
      <c r="W12" s="10" t="s">
        <v>50</v>
      </c>
      <c r="X12" s="10" t="s">
        <v>50</v>
      </c>
      <c r="Y12" s="10" t="s">
        <v>50</v>
      </c>
      <c r="Z12" s="10" t="s">
        <v>50</v>
      </c>
      <c r="AA12" s="10" t="s">
        <v>50</v>
      </c>
      <c r="AB12" s="10" t="s">
        <v>50</v>
      </c>
      <c r="AC12" s="10" t="s">
        <v>50</v>
      </c>
      <c r="AD12" s="10" t="s">
        <v>50</v>
      </c>
      <c r="AE12" s="10" t="s">
        <v>50</v>
      </c>
      <c r="AF12" s="10" t="s">
        <v>50</v>
      </c>
      <c r="AG12" s="10" t="s">
        <v>50</v>
      </c>
      <c r="AH12" s="10" t="s">
        <v>50</v>
      </c>
      <c r="AI12" s="10" t="s">
        <v>50</v>
      </c>
      <c r="AJ12" s="10" t="s">
        <v>50</v>
      </c>
      <c r="AK12" s="10" t="s">
        <v>50</v>
      </c>
      <c r="AL12" s="10" t="s">
        <v>50</v>
      </c>
      <c r="AM12" s="10" t="s">
        <v>50</v>
      </c>
      <c r="AN12" s="10" t="s">
        <v>50</v>
      </c>
      <c r="AO12" s="10" t="s">
        <v>50</v>
      </c>
      <c r="AP12" s="10" t="s">
        <v>50</v>
      </c>
      <c r="AQ12" s="10" t="s">
        <v>50</v>
      </c>
      <c r="AR12" s="10" t="s">
        <v>50</v>
      </c>
      <c r="AS12" s="10" t="s">
        <v>50</v>
      </c>
      <c r="AT12" s="11" t="s">
        <v>50</v>
      </c>
      <c r="AU12" s="7">
        <f t="shared" si="0"/>
        <v>0</v>
      </c>
      <c r="AV12" s="14" t="s">
        <v>107</v>
      </c>
    </row>
    <row r="13" spans="1:48" x14ac:dyDescent="0.25">
      <c r="A13" s="3">
        <v>10</v>
      </c>
      <c r="B13" s="1" t="s">
        <v>80</v>
      </c>
      <c r="C13" s="1" t="s">
        <v>81</v>
      </c>
      <c r="D13" s="1" t="s">
        <v>53</v>
      </c>
      <c r="E13" s="1" t="s">
        <v>82</v>
      </c>
      <c r="F13" s="10" t="s">
        <v>55</v>
      </c>
      <c r="G13" s="10" t="s">
        <v>50</v>
      </c>
      <c r="H13" s="10" t="s">
        <v>50</v>
      </c>
      <c r="I13" s="10" t="s">
        <v>55</v>
      </c>
      <c r="J13" s="10" t="s">
        <v>50</v>
      </c>
      <c r="K13" s="10" t="s">
        <v>50</v>
      </c>
      <c r="L13" s="10" t="s">
        <v>55</v>
      </c>
      <c r="M13" s="10" t="s">
        <v>55</v>
      </c>
      <c r="N13" s="10" t="s">
        <v>55</v>
      </c>
      <c r="O13" s="10" t="s">
        <v>55</v>
      </c>
      <c r="P13" s="10" t="s">
        <v>50</v>
      </c>
      <c r="Q13" s="10" t="s">
        <v>55</v>
      </c>
      <c r="R13" s="10" t="s">
        <v>50</v>
      </c>
      <c r="S13" s="10" t="s">
        <v>50</v>
      </c>
      <c r="T13" s="10" t="s">
        <v>55</v>
      </c>
      <c r="U13" s="10" t="s">
        <v>50</v>
      </c>
      <c r="V13" s="10" t="s">
        <v>50</v>
      </c>
      <c r="W13" s="10" t="s">
        <v>50</v>
      </c>
      <c r="X13" s="10" t="s">
        <v>50</v>
      </c>
      <c r="Y13" s="10" t="s">
        <v>55</v>
      </c>
      <c r="Z13" s="10" t="s">
        <v>55</v>
      </c>
      <c r="AA13" s="10" t="s">
        <v>55</v>
      </c>
      <c r="AB13" s="10" t="s">
        <v>55</v>
      </c>
      <c r="AC13" s="10" t="s">
        <v>50</v>
      </c>
      <c r="AD13" s="10" t="s">
        <v>55</v>
      </c>
      <c r="AE13" s="10" t="s">
        <v>55</v>
      </c>
      <c r="AF13" s="10" t="s">
        <v>50</v>
      </c>
      <c r="AG13" s="10" t="s">
        <v>50</v>
      </c>
      <c r="AH13" s="10" t="s">
        <v>50</v>
      </c>
      <c r="AI13" s="10" t="s">
        <v>50</v>
      </c>
      <c r="AJ13" s="10" t="s">
        <v>55</v>
      </c>
      <c r="AK13" s="10" t="s">
        <v>50</v>
      </c>
      <c r="AL13" s="10" t="s">
        <v>55</v>
      </c>
      <c r="AM13" s="10" t="s">
        <v>50</v>
      </c>
      <c r="AN13" s="10" t="s">
        <v>50</v>
      </c>
      <c r="AO13" s="10" t="s">
        <v>50</v>
      </c>
      <c r="AP13" s="10" t="s">
        <v>55</v>
      </c>
      <c r="AQ13" s="10" t="s">
        <v>50</v>
      </c>
      <c r="AR13" s="10" t="s">
        <v>50</v>
      </c>
      <c r="AS13" s="10" t="s">
        <v>50</v>
      </c>
      <c r="AT13" s="11" t="s">
        <v>50</v>
      </c>
      <c r="AU13" s="7">
        <v>0</v>
      </c>
      <c r="AV13" s="14" t="s">
        <v>107</v>
      </c>
    </row>
    <row r="14" spans="1:48" x14ac:dyDescent="0.25">
      <c r="A14" s="3">
        <v>11</v>
      </c>
      <c r="B14" s="1" t="s">
        <v>83</v>
      </c>
      <c r="C14" s="1" t="s">
        <v>67</v>
      </c>
      <c r="D14" s="1" t="s">
        <v>58</v>
      </c>
      <c r="E14" s="1" t="s">
        <v>84</v>
      </c>
      <c r="F14" s="10" t="s">
        <v>55</v>
      </c>
      <c r="G14" s="10" t="s">
        <v>55</v>
      </c>
      <c r="H14" s="10" t="s">
        <v>55</v>
      </c>
      <c r="I14" s="10" t="s">
        <v>55</v>
      </c>
      <c r="J14" s="10" t="s">
        <v>50</v>
      </c>
      <c r="K14" s="10" t="s">
        <v>50</v>
      </c>
      <c r="L14" s="10" t="s">
        <v>50</v>
      </c>
      <c r="M14" s="10" t="s">
        <v>50</v>
      </c>
      <c r="N14" s="10" t="s">
        <v>50</v>
      </c>
      <c r="O14" s="10" t="s">
        <v>55</v>
      </c>
      <c r="P14" s="10" t="s">
        <v>50</v>
      </c>
      <c r="Q14" s="10" t="s">
        <v>55</v>
      </c>
      <c r="R14" s="10" t="s">
        <v>50</v>
      </c>
      <c r="S14" s="10" t="s">
        <v>50</v>
      </c>
      <c r="T14" s="10" t="s">
        <v>55</v>
      </c>
      <c r="U14" s="10" t="s">
        <v>50</v>
      </c>
      <c r="V14" s="10" t="s">
        <v>50</v>
      </c>
      <c r="W14" s="10" t="s">
        <v>50</v>
      </c>
      <c r="X14" s="10" t="s">
        <v>55</v>
      </c>
      <c r="Y14" s="10" t="s">
        <v>50</v>
      </c>
      <c r="Z14" s="10" t="s">
        <v>50</v>
      </c>
      <c r="AA14" s="10" t="s">
        <v>50</v>
      </c>
      <c r="AB14" s="10" t="s">
        <v>50</v>
      </c>
      <c r="AC14" s="10" t="s">
        <v>55</v>
      </c>
      <c r="AD14" s="10" t="s">
        <v>55</v>
      </c>
      <c r="AE14" s="10" t="s">
        <v>55</v>
      </c>
      <c r="AF14" s="10" t="s">
        <v>50</v>
      </c>
      <c r="AG14" s="10" t="s">
        <v>55</v>
      </c>
      <c r="AH14" s="10" t="s">
        <v>55</v>
      </c>
      <c r="AI14" s="10" t="s">
        <v>50</v>
      </c>
      <c r="AJ14" s="10" t="s">
        <v>50</v>
      </c>
      <c r="AK14" s="10" t="s">
        <v>55</v>
      </c>
      <c r="AL14" s="10" t="s">
        <v>55</v>
      </c>
      <c r="AM14" s="10" t="s">
        <v>50</v>
      </c>
      <c r="AN14" s="10" t="s">
        <v>50</v>
      </c>
      <c r="AO14" s="10" t="s">
        <v>50</v>
      </c>
      <c r="AP14" s="10" t="s">
        <v>55</v>
      </c>
      <c r="AQ14" s="10" t="s">
        <v>50</v>
      </c>
      <c r="AR14" s="10" t="s">
        <v>50</v>
      </c>
      <c r="AS14" s="10" t="s">
        <v>50</v>
      </c>
      <c r="AT14" s="11" t="s">
        <v>50</v>
      </c>
      <c r="AU14" s="7">
        <f t="shared" ref="AU14:AU20" si="1">SUMIF(F14:AT14,"X",$F$3:$AT$3)</f>
        <v>1053900</v>
      </c>
      <c r="AV14" s="7"/>
    </row>
    <row r="15" spans="1:48" x14ac:dyDescent="0.25">
      <c r="A15" s="3">
        <v>12</v>
      </c>
      <c r="B15" s="1" t="s">
        <v>85</v>
      </c>
      <c r="C15" s="1" t="s">
        <v>86</v>
      </c>
      <c r="D15" s="1" t="s">
        <v>58</v>
      </c>
      <c r="E15" s="1" t="s">
        <v>87</v>
      </c>
      <c r="F15" s="10" t="s">
        <v>55</v>
      </c>
      <c r="G15" s="10" t="s">
        <v>50</v>
      </c>
      <c r="H15" s="10" t="s">
        <v>50</v>
      </c>
      <c r="I15" s="10" t="s">
        <v>55</v>
      </c>
      <c r="J15" s="10" t="s">
        <v>50</v>
      </c>
      <c r="K15" s="10" t="s">
        <v>50</v>
      </c>
      <c r="L15" s="10" t="s">
        <v>50</v>
      </c>
      <c r="M15" s="10" t="s">
        <v>50</v>
      </c>
      <c r="N15" s="10" t="s">
        <v>55</v>
      </c>
      <c r="O15" s="10" t="s">
        <v>55</v>
      </c>
      <c r="P15" s="10" t="s">
        <v>50</v>
      </c>
      <c r="Q15" s="10" t="s">
        <v>50</v>
      </c>
      <c r="R15" s="10" t="s">
        <v>55</v>
      </c>
      <c r="S15" s="10" t="s">
        <v>55</v>
      </c>
      <c r="T15" s="10" t="s">
        <v>55</v>
      </c>
      <c r="U15" s="10" t="s">
        <v>50</v>
      </c>
      <c r="V15" s="10" t="s">
        <v>50</v>
      </c>
      <c r="W15" s="10" t="s">
        <v>50</v>
      </c>
      <c r="X15" s="10" t="s">
        <v>50</v>
      </c>
      <c r="Y15" s="10" t="s">
        <v>55</v>
      </c>
      <c r="Z15" s="10" t="s">
        <v>55</v>
      </c>
      <c r="AA15" s="10" t="s">
        <v>55</v>
      </c>
      <c r="AB15" s="10" t="s">
        <v>55</v>
      </c>
      <c r="AC15" s="10" t="s">
        <v>50</v>
      </c>
      <c r="AD15" s="10" t="s">
        <v>55</v>
      </c>
      <c r="AE15" s="10" t="s">
        <v>55</v>
      </c>
      <c r="AF15" s="10" t="s">
        <v>50</v>
      </c>
      <c r="AG15" s="10" t="s">
        <v>50</v>
      </c>
      <c r="AH15" s="10" t="s">
        <v>50</v>
      </c>
      <c r="AI15" s="10" t="s">
        <v>50</v>
      </c>
      <c r="AJ15" s="10" t="s">
        <v>55</v>
      </c>
      <c r="AK15" s="10" t="s">
        <v>50</v>
      </c>
      <c r="AL15" s="10" t="s">
        <v>55</v>
      </c>
      <c r="AM15" s="10" t="s">
        <v>50</v>
      </c>
      <c r="AN15" s="10" t="s">
        <v>50</v>
      </c>
      <c r="AO15" s="10" t="s">
        <v>50</v>
      </c>
      <c r="AP15" s="10" t="s">
        <v>55</v>
      </c>
      <c r="AQ15" s="10" t="s">
        <v>50</v>
      </c>
      <c r="AR15" s="10" t="s">
        <v>50</v>
      </c>
      <c r="AS15" s="10" t="s">
        <v>50</v>
      </c>
      <c r="AT15" s="11" t="s">
        <v>50</v>
      </c>
      <c r="AU15" s="7">
        <f t="shared" si="1"/>
        <v>1166300</v>
      </c>
      <c r="AV15" s="7"/>
    </row>
    <row r="16" spans="1:48" x14ac:dyDescent="0.25">
      <c r="A16" s="3">
        <v>13</v>
      </c>
      <c r="B16" s="1" t="s">
        <v>88</v>
      </c>
      <c r="C16" s="1" t="s">
        <v>89</v>
      </c>
      <c r="D16" s="1" t="s">
        <v>58</v>
      </c>
      <c r="E16" s="1" t="s">
        <v>90</v>
      </c>
      <c r="F16" s="10" t="s">
        <v>55</v>
      </c>
      <c r="G16" s="10" t="s">
        <v>55</v>
      </c>
      <c r="H16" s="10" t="s">
        <v>55</v>
      </c>
      <c r="I16" s="10" t="s">
        <v>55</v>
      </c>
      <c r="J16" s="10" t="s">
        <v>50</v>
      </c>
      <c r="K16" s="10" t="s">
        <v>50</v>
      </c>
      <c r="L16" s="10" t="s">
        <v>50</v>
      </c>
      <c r="M16" s="10" t="s">
        <v>50</v>
      </c>
      <c r="N16" s="10" t="s">
        <v>50</v>
      </c>
      <c r="O16" s="10" t="s">
        <v>55</v>
      </c>
      <c r="P16" s="10" t="s">
        <v>50</v>
      </c>
      <c r="Q16" s="10" t="s">
        <v>50</v>
      </c>
      <c r="R16" s="10" t="s">
        <v>50</v>
      </c>
      <c r="S16" s="10" t="s">
        <v>50</v>
      </c>
      <c r="T16" s="10" t="s">
        <v>55</v>
      </c>
      <c r="U16" s="10" t="s">
        <v>50</v>
      </c>
      <c r="V16" s="10" t="s">
        <v>50</v>
      </c>
      <c r="W16" s="10" t="s">
        <v>50</v>
      </c>
      <c r="X16" s="10" t="s">
        <v>55</v>
      </c>
      <c r="Y16" s="10" t="s">
        <v>55</v>
      </c>
      <c r="Z16" s="10" t="s">
        <v>55</v>
      </c>
      <c r="AA16" s="10" t="s">
        <v>55</v>
      </c>
      <c r="AB16" s="10" t="s">
        <v>55</v>
      </c>
      <c r="AC16" s="10" t="s">
        <v>55</v>
      </c>
      <c r="AD16" s="10" t="s">
        <v>55</v>
      </c>
      <c r="AE16" s="10" t="s">
        <v>55</v>
      </c>
      <c r="AF16" s="10" t="s">
        <v>50</v>
      </c>
      <c r="AG16" s="10" t="s">
        <v>55</v>
      </c>
      <c r="AH16" s="10" t="s">
        <v>55</v>
      </c>
      <c r="AI16" s="10" t="s">
        <v>50</v>
      </c>
      <c r="AJ16" s="10" t="s">
        <v>50</v>
      </c>
      <c r="AK16" s="10" t="s">
        <v>50</v>
      </c>
      <c r="AL16" s="10" t="s">
        <v>55</v>
      </c>
      <c r="AM16" s="10" t="s">
        <v>50</v>
      </c>
      <c r="AN16" s="10" t="s">
        <v>50</v>
      </c>
      <c r="AO16" s="10" t="s">
        <v>50</v>
      </c>
      <c r="AP16" s="10" t="s">
        <v>55</v>
      </c>
      <c r="AQ16" s="10" t="s">
        <v>50</v>
      </c>
      <c r="AR16" s="10" t="s">
        <v>50</v>
      </c>
      <c r="AS16" s="10" t="s">
        <v>50</v>
      </c>
      <c r="AT16" s="11" t="s">
        <v>50</v>
      </c>
      <c r="AU16" s="7">
        <f t="shared" si="1"/>
        <v>843100</v>
      </c>
      <c r="AV16" s="7"/>
    </row>
    <row r="17" spans="1:48" x14ac:dyDescent="0.25">
      <c r="A17" s="3">
        <v>14</v>
      </c>
      <c r="B17" s="1" t="s">
        <v>91</v>
      </c>
      <c r="C17" s="1" t="s">
        <v>92</v>
      </c>
      <c r="D17" s="1" t="s">
        <v>53</v>
      </c>
      <c r="E17" s="1" t="s">
        <v>93</v>
      </c>
      <c r="F17" s="10" t="s">
        <v>50</v>
      </c>
      <c r="G17" s="10" t="s">
        <v>50</v>
      </c>
      <c r="H17" s="10" t="s">
        <v>50</v>
      </c>
      <c r="I17" s="10" t="s">
        <v>55</v>
      </c>
      <c r="J17" s="10" t="s">
        <v>50</v>
      </c>
      <c r="K17" s="10" t="s">
        <v>50</v>
      </c>
      <c r="L17" s="10" t="s">
        <v>50</v>
      </c>
      <c r="M17" s="10" t="s">
        <v>50</v>
      </c>
      <c r="N17" s="10" t="s">
        <v>50</v>
      </c>
      <c r="O17" s="10" t="s">
        <v>55</v>
      </c>
      <c r="P17" s="10" t="s">
        <v>50</v>
      </c>
      <c r="Q17" s="10" t="s">
        <v>50</v>
      </c>
      <c r="R17" s="10" t="s">
        <v>50</v>
      </c>
      <c r="S17" s="10" t="s">
        <v>50</v>
      </c>
      <c r="T17" s="10" t="s">
        <v>55</v>
      </c>
      <c r="U17" s="10" t="s">
        <v>50</v>
      </c>
      <c r="V17" s="10" t="s">
        <v>50</v>
      </c>
      <c r="W17" s="10" t="s">
        <v>50</v>
      </c>
      <c r="X17" s="10" t="s">
        <v>50</v>
      </c>
      <c r="Y17" s="10" t="s">
        <v>50</v>
      </c>
      <c r="Z17" s="10" t="s">
        <v>50</v>
      </c>
      <c r="AA17" s="10" t="s">
        <v>50</v>
      </c>
      <c r="AB17" s="10" t="s">
        <v>50</v>
      </c>
      <c r="AC17" s="10" t="s">
        <v>55</v>
      </c>
      <c r="AD17" s="10" t="s">
        <v>55</v>
      </c>
      <c r="AE17" s="10" t="s">
        <v>55</v>
      </c>
      <c r="AF17" s="10" t="s">
        <v>50</v>
      </c>
      <c r="AG17" s="10" t="s">
        <v>50</v>
      </c>
      <c r="AH17" s="10" t="s">
        <v>50</v>
      </c>
      <c r="AI17" s="10" t="s">
        <v>50</v>
      </c>
      <c r="AJ17" s="10" t="s">
        <v>50</v>
      </c>
      <c r="AK17" s="10" t="s">
        <v>50</v>
      </c>
      <c r="AL17" s="10" t="s">
        <v>55</v>
      </c>
      <c r="AM17" s="10" t="s">
        <v>50</v>
      </c>
      <c r="AN17" s="10" t="s">
        <v>50</v>
      </c>
      <c r="AO17" s="10" t="s">
        <v>50</v>
      </c>
      <c r="AP17" s="10" t="s">
        <v>55</v>
      </c>
      <c r="AQ17" s="10" t="s">
        <v>50</v>
      </c>
      <c r="AR17" s="10" t="s">
        <v>55</v>
      </c>
      <c r="AS17" s="10" t="s">
        <v>50</v>
      </c>
      <c r="AT17" s="11" t="s">
        <v>50</v>
      </c>
      <c r="AU17" s="7">
        <f t="shared" si="1"/>
        <v>454700</v>
      </c>
      <c r="AV17" s="7"/>
    </row>
    <row r="18" spans="1:48" x14ac:dyDescent="0.25">
      <c r="A18" s="3">
        <v>15</v>
      </c>
      <c r="B18" s="1" t="s">
        <v>94</v>
      </c>
      <c r="C18" s="1" t="s">
        <v>95</v>
      </c>
      <c r="D18" s="1" t="s">
        <v>58</v>
      </c>
      <c r="E18" s="1" t="s">
        <v>96</v>
      </c>
      <c r="F18" s="10" t="s">
        <v>50</v>
      </c>
      <c r="G18" s="10" t="s">
        <v>50</v>
      </c>
      <c r="H18" s="10" t="s">
        <v>50</v>
      </c>
      <c r="I18" s="10" t="s">
        <v>55</v>
      </c>
      <c r="J18" s="10" t="s">
        <v>50</v>
      </c>
      <c r="K18" s="10" t="s">
        <v>50</v>
      </c>
      <c r="L18" s="10" t="s">
        <v>50</v>
      </c>
      <c r="M18" s="10" t="s">
        <v>50</v>
      </c>
      <c r="N18" s="10" t="s">
        <v>50</v>
      </c>
      <c r="O18" s="10" t="s">
        <v>55</v>
      </c>
      <c r="P18" s="10" t="s">
        <v>50</v>
      </c>
      <c r="Q18" s="10" t="s">
        <v>50</v>
      </c>
      <c r="R18" s="10" t="s">
        <v>50</v>
      </c>
      <c r="S18" s="10" t="s">
        <v>50</v>
      </c>
      <c r="T18" s="10" t="s">
        <v>50</v>
      </c>
      <c r="U18" s="10" t="s">
        <v>50</v>
      </c>
      <c r="V18" s="10" t="s">
        <v>50</v>
      </c>
      <c r="W18" s="10" t="s">
        <v>50</v>
      </c>
      <c r="X18" s="10" t="s">
        <v>50</v>
      </c>
      <c r="Y18" s="10" t="s">
        <v>50</v>
      </c>
      <c r="Z18" s="10" t="s">
        <v>50</v>
      </c>
      <c r="AA18" s="10" t="s">
        <v>50</v>
      </c>
      <c r="AB18" s="10" t="s">
        <v>50</v>
      </c>
      <c r="AC18" s="10" t="s">
        <v>55</v>
      </c>
      <c r="AD18" s="10" t="s">
        <v>50</v>
      </c>
      <c r="AE18" s="10" t="s">
        <v>50</v>
      </c>
      <c r="AF18" s="10" t="s">
        <v>50</v>
      </c>
      <c r="AG18" s="10" t="s">
        <v>50</v>
      </c>
      <c r="AH18" s="10" t="s">
        <v>50</v>
      </c>
      <c r="AI18" s="10" t="s">
        <v>50</v>
      </c>
      <c r="AJ18" s="10" t="s">
        <v>50</v>
      </c>
      <c r="AK18" s="10" t="s">
        <v>50</v>
      </c>
      <c r="AL18" s="10" t="s">
        <v>55</v>
      </c>
      <c r="AM18" s="10" t="s">
        <v>50</v>
      </c>
      <c r="AN18" s="10" t="s">
        <v>50</v>
      </c>
      <c r="AO18" s="10" t="s">
        <v>50</v>
      </c>
      <c r="AP18" s="10" t="s">
        <v>55</v>
      </c>
      <c r="AQ18" s="10" t="s">
        <v>50</v>
      </c>
      <c r="AR18" s="10" t="s">
        <v>50</v>
      </c>
      <c r="AS18" s="10" t="s">
        <v>50</v>
      </c>
      <c r="AT18" s="11" t="s">
        <v>50</v>
      </c>
      <c r="AU18" s="7">
        <f t="shared" si="1"/>
        <v>302600</v>
      </c>
      <c r="AV18" s="7"/>
    </row>
    <row r="19" spans="1:48" x14ac:dyDescent="0.25">
      <c r="A19" s="3">
        <v>16</v>
      </c>
      <c r="B19" s="1" t="s">
        <v>97</v>
      </c>
      <c r="C19" s="1" t="s">
        <v>98</v>
      </c>
      <c r="D19" s="1" t="s">
        <v>58</v>
      </c>
      <c r="E19" s="1" t="s">
        <v>99</v>
      </c>
      <c r="F19" s="10" t="s">
        <v>50</v>
      </c>
      <c r="G19" s="10" t="s">
        <v>50</v>
      </c>
      <c r="H19" s="10" t="s">
        <v>50</v>
      </c>
      <c r="I19" s="10" t="s">
        <v>55</v>
      </c>
      <c r="J19" s="10" t="s">
        <v>50</v>
      </c>
      <c r="K19" s="10" t="s">
        <v>50</v>
      </c>
      <c r="L19" s="10" t="s">
        <v>50</v>
      </c>
      <c r="M19" s="10" t="s">
        <v>50</v>
      </c>
      <c r="N19" s="10" t="s">
        <v>50</v>
      </c>
      <c r="O19" s="10" t="s">
        <v>55</v>
      </c>
      <c r="P19" s="10" t="s">
        <v>50</v>
      </c>
      <c r="Q19" s="10" t="s">
        <v>50</v>
      </c>
      <c r="R19" s="10" t="s">
        <v>50</v>
      </c>
      <c r="S19" s="10" t="s">
        <v>50</v>
      </c>
      <c r="T19" s="10" t="s">
        <v>50</v>
      </c>
      <c r="U19" s="10" t="s">
        <v>50</v>
      </c>
      <c r="V19" s="10" t="s">
        <v>50</v>
      </c>
      <c r="W19" s="10" t="s">
        <v>50</v>
      </c>
      <c r="X19" s="10" t="s">
        <v>50</v>
      </c>
      <c r="Y19" s="10" t="s">
        <v>50</v>
      </c>
      <c r="Z19" s="10" t="s">
        <v>50</v>
      </c>
      <c r="AA19" s="10" t="s">
        <v>50</v>
      </c>
      <c r="AB19" s="10" t="s">
        <v>50</v>
      </c>
      <c r="AC19" s="10" t="s">
        <v>55</v>
      </c>
      <c r="AD19" s="10" t="s">
        <v>50</v>
      </c>
      <c r="AE19" s="10" t="s">
        <v>50</v>
      </c>
      <c r="AF19" s="10" t="s">
        <v>50</v>
      </c>
      <c r="AG19" s="10" t="s">
        <v>50</v>
      </c>
      <c r="AH19" s="10" t="s">
        <v>50</v>
      </c>
      <c r="AI19" s="10" t="s">
        <v>50</v>
      </c>
      <c r="AJ19" s="10" t="s">
        <v>50</v>
      </c>
      <c r="AK19" s="10" t="s">
        <v>50</v>
      </c>
      <c r="AL19" s="10" t="s">
        <v>55</v>
      </c>
      <c r="AM19" s="10" t="s">
        <v>50</v>
      </c>
      <c r="AN19" s="10" t="s">
        <v>50</v>
      </c>
      <c r="AO19" s="10" t="s">
        <v>50</v>
      </c>
      <c r="AP19" s="10" t="s">
        <v>55</v>
      </c>
      <c r="AQ19" s="10" t="s">
        <v>50</v>
      </c>
      <c r="AR19" s="10" t="s">
        <v>50</v>
      </c>
      <c r="AS19" s="10" t="s">
        <v>50</v>
      </c>
      <c r="AT19" s="11" t="s">
        <v>50</v>
      </c>
      <c r="AU19" s="7">
        <f t="shared" si="1"/>
        <v>302600</v>
      </c>
      <c r="AV19" s="7"/>
    </row>
    <row r="20" spans="1:48" x14ac:dyDescent="0.25">
      <c r="A20" s="3">
        <v>17</v>
      </c>
      <c r="B20" s="1" t="s">
        <v>100</v>
      </c>
      <c r="C20" s="1" t="s">
        <v>67</v>
      </c>
      <c r="D20" s="1" t="s">
        <v>58</v>
      </c>
      <c r="E20" s="1" t="s">
        <v>101</v>
      </c>
      <c r="F20" s="10" t="s">
        <v>55</v>
      </c>
      <c r="G20" s="10" t="s">
        <v>55</v>
      </c>
      <c r="H20" s="10" t="s">
        <v>55</v>
      </c>
      <c r="I20" s="10" t="s">
        <v>55</v>
      </c>
      <c r="J20" s="10" t="s">
        <v>50</v>
      </c>
      <c r="K20" s="10" t="s">
        <v>50</v>
      </c>
      <c r="L20" s="10" t="s">
        <v>50</v>
      </c>
      <c r="M20" s="10" t="s">
        <v>50</v>
      </c>
      <c r="N20" s="10" t="s">
        <v>50</v>
      </c>
      <c r="O20" s="10" t="s">
        <v>55</v>
      </c>
      <c r="P20" s="10" t="s">
        <v>55</v>
      </c>
      <c r="Q20" s="10" t="s">
        <v>55</v>
      </c>
      <c r="R20" s="10" t="s">
        <v>50</v>
      </c>
      <c r="S20" s="10" t="s">
        <v>50</v>
      </c>
      <c r="T20" s="10" t="s">
        <v>55</v>
      </c>
      <c r="U20" s="10" t="s">
        <v>55</v>
      </c>
      <c r="V20" s="10" t="s">
        <v>50</v>
      </c>
      <c r="W20" s="10" t="s">
        <v>50</v>
      </c>
      <c r="X20" s="10" t="s">
        <v>50</v>
      </c>
      <c r="Y20" s="10" t="s">
        <v>55</v>
      </c>
      <c r="Z20" s="10" t="s">
        <v>55</v>
      </c>
      <c r="AA20" s="10" t="s">
        <v>55</v>
      </c>
      <c r="AB20" s="10" t="s">
        <v>55</v>
      </c>
      <c r="AC20" s="10" t="s">
        <v>50</v>
      </c>
      <c r="AD20" s="10" t="s">
        <v>55</v>
      </c>
      <c r="AE20" s="10" t="s">
        <v>55</v>
      </c>
      <c r="AF20" s="10" t="s">
        <v>50</v>
      </c>
      <c r="AG20" s="10" t="s">
        <v>50</v>
      </c>
      <c r="AH20" s="10" t="s">
        <v>50</v>
      </c>
      <c r="AI20" s="10" t="s">
        <v>55</v>
      </c>
      <c r="AJ20" s="10" t="s">
        <v>50</v>
      </c>
      <c r="AK20" s="10" t="s">
        <v>50</v>
      </c>
      <c r="AL20" s="10" t="s">
        <v>55</v>
      </c>
      <c r="AM20" s="10" t="s">
        <v>50</v>
      </c>
      <c r="AN20" s="10" t="s">
        <v>50</v>
      </c>
      <c r="AO20" s="10" t="s">
        <v>50</v>
      </c>
      <c r="AP20" s="10" t="s">
        <v>55</v>
      </c>
      <c r="AQ20" s="10" t="s">
        <v>55</v>
      </c>
      <c r="AR20" s="10" t="s">
        <v>50</v>
      </c>
      <c r="AS20" s="10" t="s">
        <v>55</v>
      </c>
      <c r="AT20" s="11" t="s">
        <v>50</v>
      </c>
      <c r="AU20" s="7">
        <f t="shared" si="1"/>
        <v>1415700</v>
      </c>
      <c r="AV20" s="7"/>
    </row>
    <row r="21" spans="1:48" ht="18.75" x14ac:dyDescent="0.25">
      <c r="AU21" s="12">
        <f>SUM(AU4:AU20)</f>
        <v>19413500</v>
      </c>
      <c r="AV21" s="12"/>
    </row>
  </sheetData>
  <mergeCells count="6">
    <mergeCell ref="AV2:AV3"/>
    <mergeCell ref="AU2:AU3"/>
    <mergeCell ref="J1:S1"/>
    <mergeCell ref="F1:I1"/>
    <mergeCell ref="A1:E1"/>
    <mergeCell ref="A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Tổng hợp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Hoàng Giang Nguyễn</cp:lastModifiedBy>
  <dcterms:modified xsi:type="dcterms:W3CDTF">2025-06-18T04:16:54Z</dcterms:modified>
</cp:coreProperties>
</file>