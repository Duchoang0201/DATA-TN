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TỔNG CÔNG TY CỔ PHẦN BẢO HIỂM AAA - CHI NHÁNH QUẢNG NAM (83-2025)\"/>
    </mc:Choice>
  </mc:AlternateContent>
  <xr:revisionPtr revIDLastSave="0" documentId="13_ncr:1_{26A285BE-A9C8-408B-8B63-56A5D698D493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KCT" sheetId="2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4" i="3" l="1"/>
  <c r="AJ15" i="2"/>
  <c r="AI15" i="2"/>
  <c r="AJ14" i="2"/>
  <c r="AI14" i="2"/>
  <c r="AJ13" i="2"/>
  <c r="AI13" i="2"/>
  <c r="AJ12" i="2"/>
  <c r="AI12" i="2"/>
  <c r="AJ11" i="2"/>
  <c r="AI11" i="2"/>
  <c r="AJ10" i="2"/>
  <c r="AI10" i="2"/>
  <c r="AJ9" i="2"/>
  <c r="AI9" i="2"/>
  <c r="AJ8" i="2"/>
  <c r="AI8" i="2"/>
  <c r="AJ7" i="2"/>
  <c r="AJ6" i="2"/>
  <c r="AI6" i="2"/>
  <c r="AJ5" i="2"/>
  <c r="AI5" i="2"/>
  <c r="AJ4" i="2"/>
  <c r="AI4" i="2"/>
  <c r="AJ3" i="2"/>
  <c r="AJ16" i="2" s="1"/>
  <c r="AI3" i="2"/>
  <c r="AI16" i="2" l="1"/>
</calcChain>
</file>

<file path=xl/sharedStrings.xml><?xml version="1.0" encoding="utf-8"?>
<sst xmlns="http://schemas.openxmlformats.org/spreadsheetml/2006/main" count="509" uniqueCount="68">
  <si>
    <t>STT</t>
  </si>
  <si>
    <t>Họ và tên</t>
  </si>
  <si>
    <t>Ngày sinh</t>
  </si>
  <si>
    <t>Giới tính</t>
  </si>
  <si>
    <t>Khám Da Liễu-Khám Sức Khỏe (TT32_BYT)</t>
  </si>
  <si>
    <t>Khám Mắt-Khám Sức Khỏe (TT32_BYT)</t>
  </si>
  <si>
    <t>Khám Nội-Khám Sức Khỏe (TT32_BYT)</t>
  </si>
  <si>
    <t>Khám Ngoại-Khám Sức Khỏe (TT32_BYT)</t>
  </si>
  <si>
    <t>Khám RHM-Khám Sức Khỏe (TT32_BYT)</t>
  </si>
  <si>
    <t>Khám SPK-Khám Sức Khỏe (TT32_BYT)</t>
  </si>
  <si>
    <t>Khám TMH-Khám Sức Khỏe (TT32_BYT)</t>
  </si>
  <si>
    <t>Khám vú</t>
  </si>
  <si>
    <t>Tổng Kết Hồ Sơ Khám Sức Khỏe (TT32_BYT)</t>
  </si>
  <si>
    <t>Chụp X-quang tim phổi kỹ thuật số (hãng Fuji-Nhật)</t>
  </si>
  <si>
    <t>Siêu âm động mạch cảnh, đốt sống (Siêu âm Doppler màu mạch máu)</t>
  </si>
  <si>
    <t>Siêu âm màu Bụng Tổng Quát (Máy GE LOGIQ S7 Expert)</t>
  </si>
  <si>
    <t>Siêu âm màu Tuyến Giáp</t>
  </si>
  <si>
    <t>Siêu âm màu Tuyến Vú</t>
  </si>
  <si>
    <t>Siêu âm SPK trên máy E10</t>
  </si>
  <si>
    <t>Alpha FP (AFP)</t>
  </si>
  <si>
    <t>Bilirubin TP,TT,GT</t>
  </si>
  <si>
    <t>CA 19-9</t>
  </si>
  <si>
    <t>CA 72-4</t>
  </si>
  <si>
    <t>CEA</t>
  </si>
  <si>
    <t>CYFRA 21.1</t>
  </si>
  <si>
    <t>Định lượng ACID URIC máu</t>
  </si>
  <si>
    <t>Định lượng CREATINIE máu</t>
  </si>
  <si>
    <t>Định lượng GLUCOSE máu</t>
  </si>
  <si>
    <t>Gamma GT</t>
  </si>
  <si>
    <t>LDL-cholesterol</t>
  </si>
  <si>
    <t>NƯỚC TIỂU 10 THÔNG SỐ (KSK)</t>
  </si>
  <si>
    <t>Tổng phân tích tế bào máu bằng máy laser</t>
  </si>
  <si>
    <t>Triglyceride</t>
  </si>
  <si>
    <t/>
  </si>
  <si>
    <t>Lê Xuân Vinh</t>
  </si>
  <si>
    <t>1983</t>
  </si>
  <si>
    <t>Nam</t>
  </si>
  <si>
    <t>X</t>
  </si>
  <si>
    <t>Trần Văn Thư</t>
  </si>
  <si>
    <t>1979</t>
  </si>
  <si>
    <t>Võ Hữu Thiên</t>
  </si>
  <si>
    <t>1987</t>
  </si>
  <si>
    <t>Võ Thân Ái</t>
  </si>
  <si>
    <t>1968</t>
  </si>
  <si>
    <t>Thái Bá Hùng</t>
  </si>
  <si>
    <t>1976</t>
  </si>
  <si>
    <t>Nguyễn Văn Hồng</t>
  </si>
  <si>
    <t>1985</t>
  </si>
  <si>
    <t>Võ Thị Vy</t>
  </si>
  <si>
    <t>1986</t>
  </si>
  <si>
    <t>Nữ</t>
  </si>
  <si>
    <t>Lê Thị Lan</t>
  </si>
  <si>
    <t>Bùi Thị Thiên Ân</t>
  </si>
  <si>
    <t>1980</t>
  </si>
  <si>
    <t>Tô Thị Thu Thủy</t>
  </si>
  <si>
    <t>Lê Thị Hồng Linh</t>
  </si>
  <si>
    <t>Nguyễn Ngọc Kim Ngân</t>
  </si>
  <si>
    <t>1994</t>
  </si>
  <si>
    <t>Nguyễn Thị Hồng Hạnh</t>
  </si>
  <si>
    <t>1984</t>
  </si>
  <si>
    <t>Ưu đãi trong gói</t>
  </si>
  <si>
    <t>AST (SGOT),ALT (SGPT)</t>
  </si>
  <si>
    <t>Chi phí phát sinh</t>
  </si>
  <si>
    <t>23/04/1988</t>
  </si>
  <si>
    <t>Chi phí trong gói khám (HỢP ĐỒNG)</t>
  </si>
  <si>
    <t xml:space="preserve">Chi phí </t>
  </si>
  <si>
    <t>Tổng cộng</t>
  </si>
  <si>
    <t>1988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</si>
</sst>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top"/>
    </xf>
    <xf numFmtId="0" fontId="3" fillId="0" borderId="4" xfId="0" applyFont="1" applyBorder="1" applyAlignment="1">
      <alignment vertical="top" wrapText="1"/>
    </xf>
    <xf numFmtId="0" fontId="3" fillId="0" borderId="4" xfId="0" applyFont="1" applyBorder="1" applyAlignment="1">
      <alignment horizontal="center" vertical="top"/>
    </xf>
    <xf numFmtId="3" fontId="3" fillId="0" borderId="4" xfId="0" applyNumberFormat="1" applyFon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top"/>
    </xf>
    <xf numFmtId="0" fontId="3" fillId="4" borderId="4" xfId="0" applyFont="1" applyFill="1" applyBorder="1" applyAlignment="1">
      <alignment vertical="top" wrapText="1"/>
    </xf>
    <xf numFmtId="0" fontId="3" fillId="4" borderId="4" xfId="0" applyFont="1" applyFill="1" applyBorder="1" applyAlignment="1">
      <alignment horizontal="center" vertical="top"/>
    </xf>
    <xf numFmtId="3" fontId="3" fillId="4" borderId="4" xfId="0" applyNumberFormat="1" applyFont="1" applyFill="1" applyBorder="1" applyAlignment="1">
      <alignment horizontal="center" vertical="top"/>
    </xf>
    <xf numFmtId="0" fontId="0" fillId="4" borderId="0" xfId="0" applyFill="1"/>
    <xf numFmtId="3" fontId="1" fillId="5" borderId="4" xfId="0" applyNumberFormat="1" applyFont="1" applyFill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/>
    <xf numFmtId="0" fontId="0" fillId="0" borderId="0" xfId="0" applyAlignment="1"/>
    <xf numFmtId="0" fontId="3" fillId="0" borderId="4" xfId="0" applyFont="1" applyFill="1" applyBorder="1" applyAlignment="1">
      <alignment vertical="top"/>
    </xf>
    <xf numFmtId="3" fontId="3" fillId="0" borderId="4" xfId="0" applyNumberFormat="1" applyFont="1" applyFill="1" applyBorder="1" applyAlignment="1">
      <alignment horizontal="center" vertical="top"/>
    </xf>
    <xf numFmtId="0" fontId="0" fillId="0" borderId="0" xfId="0" applyFill="1"/>
    <xf numFmtId="0" fontId="1" fillId="0" borderId="4" xfId="0" applyFont="1" applyBorder="1" applyAlignment="1">
      <alignment horizontal="center"/>
    </xf>
    <xf numFmtId="3" fontId="1" fillId="0" borderId="4" xfId="0" applyNumberFormat="1" applyFont="1" applyBorder="1" applyAlignment="1"/>
    <xf numFmtId="0" fontId="1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84DE1-A728-4ABD-A2E9-A1AD9910FCEE}">
  <dimension ref="A1:AJ16"/>
  <sheetViews>
    <sheetView topLeftCell="A10" workbookViewId="0">
      <selection activeCell="E1" sqref="A1:XFD15"/>
    </sheetView>
  </sheetViews>
  <sheetFormatPr defaultRowHeight="15"/>
  <cols>
    <col min="2" max="2" width="25" customWidth="1"/>
    <col min="3" max="3" width="10" customWidth="1"/>
    <col min="5" max="36" width="15" style="1" customWidth="1"/>
  </cols>
  <sheetData>
    <row r="1" spans="1:36" ht="85.5">
      <c r="A1" s="20" t="s">
        <v>0</v>
      </c>
      <c r="B1" s="20" t="s">
        <v>1</v>
      </c>
      <c r="C1" s="20" t="s">
        <v>2</v>
      </c>
      <c r="D1" s="20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</v>
      </c>
      <c r="P1" s="3" t="s">
        <v>18</v>
      </c>
      <c r="Q1" s="3" t="s">
        <v>19</v>
      </c>
      <c r="R1" s="2" t="s">
        <v>61</v>
      </c>
      <c r="S1" s="3" t="s">
        <v>20</v>
      </c>
      <c r="T1" s="3" t="s">
        <v>21</v>
      </c>
      <c r="U1" s="3" t="s">
        <v>22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32</v>
      </c>
      <c r="AC1" s="3" t="s">
        <v>30</v>
      </c>
      <c r="AD1" s="3" t="s">
        <v>31</v>
      </c>
      <c r="AE1" s="10" t="s">
        <v>16</v>
      </c>
      <c r="AF1" s="10" t="s">
        <v>14</v>
      </c>
      <c r="AG1" s="10" t="s">
        <v>23</v>
      </c>
      <c r="AH1" s="10" t="s">
        <v>17</v>
      </c>
      <c r="AI1" s="18" t="s">
        <v>64</v>
      </c>
      <c r="AJ1" s="18" t="s">
        <v>62</v>
      </c>
    </row>
    <row r="2" spans="1:36" ht="28.5">
      <c r="A2" s="21"/>
      <c r="B2" s="21"/>
      <c r="C2" s="21"/>
      <c r="D2" s="21"/>
      <c r="E2" s="4">
        <v>20000</v>
      </c>
      <c r="F2" s="4">
        <v>20000</v>
      </c>
      <c r="G2" s="4">
        <v>90000</v>
      </c>
      <c r="H2" s="4">
        <v>20000</v>
      </c>
      <c r="I2" s="4">
        <v>20000</v>
      </c>
      <c r="J2" s="5" t="s">
        <v>60</v>
      </c>
      <c r="K2" s="4">
        <v>20000</v>
      </c>
      <c r="L2" s="5" t="s">
        <v>60</v>
      </c>
      <c r="M2" s="5" t="s">
        <v>60</v>
      </c>
      <c r="N2" s="4">
        <v>97000</v>
      </c>
      <c r="O2" s="4">
        <v>219000</v>
      </c>
      <c r="P2" s="4">
        <v>178000</v>
      </c>
      <c r="Q2" s="4">
        <v>115000</v>
      </c>
      <c r="R2" s="4">
        <v>57000</v>
      </c>
      <c r="S2" s="4">
        <v>45000</v>
      </c>
      <c r="T2" s="4">
        <v>182000</v>
      </c>
      <c r="U2" s="4">
        <v>220000</v>
      </c>
      <c r="V2" s="4">
        <v>164000</v>
      </c>
      <c r="W2" s="4">
        <v>39000</v>
      </c>
      <c r="X2" s="4">
        <v>39000</v>
      </c>
      <c r="Y2" s="4">
        <v>26000</v>
      </c>
      <c r="Z2" s="4">
        <v>39000</v>
      </c>
      <c r="AA2" s="4">
        <v>56000</v>
      </c>
      <c r="AB2" s="4">
        <v>39000</v>
      </c>
      <c r="AC2" s="4">
        <v>56000</v>
      </c>
      <c r="AD2" s="4">
        <v>71000</v>
      </c>
      <c r="AE2" s="11">
        <v>218500</v>
      </c>
      <c r="AF2" s="11">
        <v>236550</v>
      </c>
      <c r="AG2" s="11">
        <v>165300</v>
      </c>
      <c r="AH2" s="11">
        <v>209000</v>
      </c>
      <c r="AI2" s="19"/>
      <c r="AJ2" s="19"/>
    </row>
    <row r="3" spans="1:36">
      <c r="A3" s="6">
        <v>1</v>
      </c>
      <c r="B3" s="7" t="s">
        <v>34</v>
      </c>
      <c r="C3" s="7" t="s">
        <v>35</v>
      </c>
      <c r="D3" s="7" t="s">
        <v>36</v>
      </c>
      <c r="E3" s="8" t="s">
        <v>37</v>
      </c>
      <c r="F3" s="8" t="s">
        <v>37</v>
      </c>
      <c r="G3" s="8" t="s">
        <v>37</v>
      </c>
      <c r="H3" s="8" t="s">
        <v>37</v>
      </c>
      <c r="I3" s="8" t="s">
        <v>37</v>
      </c>
      <c r="J3" s="8" t="s">
        <v>33</v>
      </c>
      <c r="K3" s="8" t="s">
        <v>37</v>
      </c>
      <c r="L3" s="8" t="s">
        <v>33</v>
      </c>
      <c r="M3" s="8" t="s">
        <v>37</v>
      </c>
      <c r="N3" s="8" t="s">
        <v>37</v>
      </c>
      <c r="O3" s="8" t="s">
        <v>37</v>
      </c>
      <c r="P3" s="8" t="s">
        <v>33</v>
      </c>
      <c r="Q3" s="8" t="s">
        <v>37</v>
      </c>
      <c r="R3" s="8" t="s">
        <v>37</v>
      </c>
      <c r="S3" s="8" t="s">
        <v>37</v>
      </c>
      <c r="T3" s="8" t="s">
        <v>37</v>
      </c>
      <c r="U3" s="8" t="s">
        <v>37</v>
      </c>
      <c r="V3" s="8" t="s">
        <v>37</v>
      </c>
      <c r="W3" s="8" t="s">
        <v>37</v>
      </c>
      <c r="X3" s="8" t="s">
        <v>37</v>
      </c>
      <c r="Y3" s="8" t="s">
        <v>37</v>
      </c>
      <c r="Z3" s="8" t="s">
        <v>37</v>
      </c>
      <c r="AA3" s="8" t="s">
        <v>37</v>
      </c>
      <c r="AB3" s="8" t="s">
        <v>37</v>
      </c>
      <c r="AC3" s="8" t="s">
        <v>37</v>
      </c>
      <c r="AD3" s="8" t="s">
        <v>37</v>
      </c>
      <c r="AE3" s="8" t="s">
        <v>33</v>
      </c>
      <c r="AF3" s="8" t="s">
        <v>37</v>
      </c>
      <c r="AG3" s="8" t="s">
        <v>33</v>
      </c>
      <c r="AH3" s="8" t="s">
        <v>33</v>
      </c>
      <c r="AI3" s="9">
        <f>SUMIF(E3:AD3,"X",$E$2:$AD$2)</f>
        <v>1654000</v>
      </c>
      <c r="AJ3" s="9">
        <f>SUMIF(AE3:AH3,"X",$AE$2:$AH$2)</f>
        <v>236550</v>
      </c>
    </row>
    <row r="4" spans="1:36">
      <c r="A4" s="6">
        <v>2</v>
      </c>
      <c r="B4" s="7" t="s">
        <v>38</v>
      </c>
      <c r="C4" s="7" t="s">
        <v>39</v>
      </c>
      <c r="D4" s="7" t="s">
        <v>36</v>
      </c>
      <c r="E4" s="8" t="s">
        <v>37</v>
      </c>
      <c r="F4" s="8" t="s">
        <v>37</v>
      </c>
      <c r="G4" s="8" t="s">
        <v>37</v>
      </c>
      <c r="H4" s="8" t="s">
        <v>37</v>
      </c>
      <c r="I4" s="8" t="s">
        <v>37</v>
      </c>
      <c r="J4" s="8" t="s">
        <v>33</v>
      </c>
      <c r="K4" s="8" t="s">
        <v>37</v>
      </c>
      <c r="L4" s="8" t="s">
        <v>33</v>
      </c>
      <c r="M4" s="8" t="s">
        <v>37</v>
      </c>
      <c r="N4" s="8" t="s">
        <v>37</v>
      </c>
      <c r="O4" s="8" t="s">
        <v>37</v>
      </c>
      <c r="P4" s="8" t="s">
        <v>33</v>
      </c>
      <c r="Q4" s="8" t="s">
        <v>33</v>
      </c>
      <c r="R4" s="8" t="s">
        <v>37</v>
      </c>
      <c r="S4" s="8" t="s">
        <v>33</v>
      </c>
      <c r="T4" s="8" t="s">
        <v>33</v>
      </c>
      <c r="U4" s="8" t="s">
        <v>33</v>
      </c>
      <c r="V4" s="8" t="s">
        <v>33</v>
      </c>
      <c r="W4" s="8" t="s">
        <v>37</v>
      </c>
      <c r="X4" s="8" t="s">
        <v>37</v>
      </c>
      <c r="Y4" s="8" t="s">
        <v>37</v>
      </c>
      <c r="Z4" s="8" t="s">
        <v>37</v>
      </c>
      <c r="AA4" s="8" t="s">
        <v>37</v>
      </c>
      <c r="AB4" s="8" t="s">
        <v>37</v>
      </c>
      <c r="AC4" s="8" t="s">
        <v>37</v>
      </c>
      <c r="AD4" s="8" t="s">
        <v>37</v>
      </c>
      <c r="AE4" s="8" t="s">
        <v>33</v>
      </c>
      <c r="AF4" s="8" t="s">
        <v>33</v>
      </c>
      <c r="AG4" s="8" t="s">
        <v>33</v>
      </c>
      <c r="AH4" s="8" t="s">
        <v>33</v>
      </c>
      <c r="AI4" s="9">
        <f t="shared" ref="AI4:AI15" si="0">SUMIF(E4:AD4,"X",$E$2:$AD$2)</f>
        <v>928000</v>
      </c>
      <c r="AJ4" s="9">
        <f t="shared" ref="AJ4:AJ15" si="1">SUMIF(AE4:AH4,"X",$AE$2:$AH$2)</f>
        <v>0</v>
      </c>
    </row>
    <row r="5" spans="1:36">
      <c r="A5" s="6">
        <v>3</v>
      </c>
      <c r="B5" s="7" t="s">
        <v>40</v>
      </c>
      <c r="C5" s="7" t="s">
        <v>41</v>
      </c>
      <c r="D5" s="7" t="s">
        <v>36</v>
      </c>
      <c r="E5" s="8" t="s">
        <v>37</v>
      </c>
      <c r="F5" s="8" t="s">
        <v>37</v>
      </c>
      <c r="G5" s="8" t="s">
        <v>37</v>
      </c>
      <c r="H5" s="8" t="s">
        <v>37</v>
      </c>
      <c r="I5" s="8" t="s">
        <v>37</v>
      </c>
      <c r="J5" s="8" t="s">
        <v>33</v>
      </c>
      <c r="K5" s="8" t="s">
        <v>37</v>
      </c>
      <c r="L5" s="8" t="s">
        <v>33</v>
      </c>
      <c r="M5" s="8" t="s">
        <v>37</v>
      </c>
      <c r="N5" s="8" t="s">
        <v>37</v>
      </c>
      <c r="O5" s="8" t="s">
        <v>37</v>
      </c>
      <c r="P5" s="8" t="s">
        <v>33</v>
      </c>
      <c r="Q5" s="8" t="s">
        <v>33</v>
      </c>
      <c r="R5" s="8" t="s">
        <v>37</v>
      </c>
      <c r="S5" s="8" t="s">
        <v>37</v>
      </c>
      <c r="T5" s="8" t="s">
        <v>33</v>
      </c>
      <c r="U5" s="8" t="s">
        <v>33</v>
      </c>
      <c r="V5" s="8" t="s">
        <v>33</v>
      </c>
      <c r="W5" s="8" t="s">
        <v>37</v>
      </c>
      <c r="X5" s="8" t="s">
        <v>37</v>
      </c>
      <c r="Y5" s="8" t="s">
        <v>37</v>
      </c>
      <c r="Z5" s="8" t="s">
        <v>37</v>
      </c>
      <c r="AA5" s="8" t="s">
        <v>37</v>
      </c>
      <c r="AB5" s="8" t="s">
        <v>37</v>
      </c>
      <c r="AC5" s="8" t="s">
        <v>37</v>
      </c>
      <c r="AD5" s="8" t="s">
        <v>37</v>
      </c>
      <c r="AE5" s="8" t="s">
        <v>33</v>
      </c>
      <c r="AF5" s="8" t="s">
        <v>33</v>
      </c>
      <c r="AG5" s="8" t="s">
        <v>33</v>
      </c>
      <c r="AH5" s="8" t="s">
        <v>33</v>
      </c>
      <c r="AI5" s="9">
        <f t="shared" si="0"/>
        <v>973000</v>
      </c>
      <c r="AJ5" s="9">
        <f t="shared" si="1"/>
        <v>0</v>
      </c>
    </row>
    <row r="6" spans="1:36">
      <c r="A6" s="6">
        <v>4</v>
      </c>
      <c r="B6" s="7" t="s">
        <v>42</v>
      </c>
      <c r="C6" s="7" t="s">
        <v>43</v>
      </c>
      <c r="D6" s="7" t="s">
        <v>36</v>
      </c>
      <c r="E6" s="8" t="s">
        <v>37</v>
      </c>
      <c r="F6" s="8" t="s">
        <v>37</v>
      </c>
      <c r="G6" s="8" t="s">
        <v>37</v>
      </c>
      <c r="H6" s="8" t="s">
        <v>37</v>
      </c>
      <c r="I6" s="8" t="s">
        <v>37</v>
      </c>
      <c r="J6" s="8" t="s">
        <v>33</v>
      </c>
      <c r="K6" s="8" t="s">
        <v>37</v>
      </c>
      <c r="L6" s="8" t="s">
        <v>33</v>
      </c>
      <c r="M6" s="8" t="s">
        <v>37</v>
      </c>
      <c r="N6" s="8" t="s">
        <v>37</v>
      </c>
      <c r="O6" s="8" t="s">
        <v>37</v>
      </c>
      <c r="P6" s="8" t="s">
        <v>33</v>
      </c>
      <c r="Q6" s="8" t="s">
        <v>33</v>
      </c>
      <c r="R6" s="8" t="s">
        <v>37</v>
      </c>
      <c r="S6" s="8" t="s">
        <v>37</v>
      </c>
      <c r="T6" s="8" t="s">
        <v>33</v>
      </c>
      <c r="U6" s="8" t="s">
        <v>33</v>
      </c>
      <c r="V6" s="8" t="s">
        <v>33</v>
      </c>
      <c r="W6" s="8" t="s">
        <v>37</v>
      </c>
      <c r="X6" s="8" t="s">
        <v>37</v>
      </c>
      <c r="Y6" s="8" t="s">
        <v>37</v>
      </c>
      <c r="Z6" s="8" t="s">
        <v>37</v>
      </c>
      <c r="AA6" s="8" t="s">
        <v>37</v>
      </c>
      <c r="AB6" s="8" t="s">
        <v>37</v>
      </c>
      <c r="AC6" s="8" t="s">
        <v>37</v>
      </c>
      <c r="AD6" s="8" t="s">
        <v>37</v>
      </c>
      <c r="AE6" s="8" t="s">
        <v>33</v>
      </c>
      <c r="AF6" s="8" t="s">
        <v>33</v>
      </c>
      <c r="AG6" s="8" t="s">
        <v>33</v>
      </c>
      <c r="AH6" s="8" t="s">
        <v>33</v>
      </c>
      <c r="AI6" s="9">
        <f t="shared" si="0"/>
        <v>973000</v>
      </c>
      <c r="AJ6" s="9">
        <f t="shared" si="1"/>
        <v>0</v>
      </c>
    </row>
    <row r="7" spans="1:36" s="16" customFormat="1">
      <c r="A7" s="12">
        <v>5</v>
      </c>
      <c r="B7" s="13" t="s">
        <v>44</v>
      </c>
      <c r="C7" s="13" t="s">
        <v>45</v>
      </c>
      <c r="D7" s="13" t="s">
        <v>36</v>
      </c>
      <c r="E7" s="14" t="s">
        <v>37</v>
      </c>
      <c r="F7" s="14" t="s">
        <v>37</v>
      </c>
      <c r="G7" s="14" t="s">
        <v>37</v>
      </c>
      <c r="H7" s="14" t="s">
        <v>37</v>
      </c>
      <c r="I7" s="14" t="s">
        <v>37</v>
      </c>
      <c r="J7" s="14" t="s">
        <v>33</v>
      </c>
      <c r="K7" s="14" t="s">
        <v>37</v>
      </c>
      <c r="L7" s="14" t="s">
        <v>33</v>
      </c>
      <c r="M7" s="14" t="s">
        <v>37</v>
      </c>
      <c r="N7" s="14" t="s">
        <v>33</v>
      </c>
      <c r="O7" s="14" t="s">
        <v>37</v>
      </c>
      <c r="P7" s="14" t="s">
        <v>33</v>
      </c>
      <c r="Q7" s="14" t="s">
        <v>33</v>
      </c>
      <c r="R7" s="14" t="s">
        <v>37</v>
      </c>
      <c r="S7" s="14" t="s">
        <v>33</v>
      </c>
      <c r="T7" s="14" t="s">
        <v>33</v>
      </c>
      <c r="U7" s="14" t="s">
        <v>33</v>
      </c>
      <c r="V7" s="14" t="s">
        <v>33</v>
      </c>
      <c r="W7" s="14" t="s">
        <v>37</v>
      </c>
      <c r="X7" s="14" t="s">
        <v>33</v>
      </c>
      <c r="Y7" s="14" t="s">
        <v>37</v>
      </c>
      <c r="Z7" s="14" t="s">
        <v>37</v>
      </c>
      <c r="AA7" s="14" t="s">
        <v>37</v>
      </c>
      <c r="AB7" s="14" t="s">
        <v>37</v>
      </c>
      <c r="AC7" s="14" t="s">
        <v>37</v>
      </c>
      <c r="AD7" s="14" t="s">
        <v>37</v>
      </c>
      <c r="AE7" s="14" t="s">
        <v>33</v>
      </c>
      <c r="AF7" s="14" t="s">
        <v>33</v>
      </c>
      <c r="AG7" s="14" t="s">
        <v>33</v>
      </c>
      <c r="AH7" s="14" t="s">
        <v>33</v>
      </c>
      <c r="AI7" s="15">
        <v>0</v>
      </c>
      <c r="AJ7" s="15">
        <f t="shared" si="1"/>
        <v>0</v>
      </c>
    </row>
    <row r="8" spans="1:36" s="16" customFormat="1">
      <c r="A8" s="12">
        <v>6</v>
      </c>
      <c r="B8" s="13" t="s">
        <v>46</v>
      </c>
      <c r="C8" s="13" t="s">
        <v>47</v>
      </c>
      <c r="D8" s="13" t="s">
        <v>36</v>
      </c>
      <c r="E8" s="14" t="s">
        <v>37</v>
      </c>
      <c r="F8" s="14" t="s">
        <v>37</v>
      </c>
      <c r="G8" s="14" t="s">
        <v>37</v>
      </c>
      <c r="H8" s="14" t="s">
        <v>37</v>
      </c>
      <c r="I8" s="14" t="s">
        <v>37</v>
      </c>
      <c r="J8" s="14" t="s">
        <v>33</v>
      </c>
      <c r="K8" s="14" t="s">
        <v>37</v>
      </c>
      <c r="L8" s="14" t="s">
        <v>33</v>
      </c>
      <c r="M8" s="14" t="s">
        <v>37</v>
      </c>
      <c r="N8" s="14" t="s">
        <v>33</v>
      </c>
      <c r="O8" s="14" t="s">
        <v>37</v>
      </c>
      <c r="P8" s="14" t="s">
        <v>33</v>
      </c>
      <c r="Q8" s="14" t="s">
        <v>33</v>
      </c>
      <c r="R8" s="14" t="s">
        <v>37</v>
      </c>
      <c r="S8" s="14" t="s">
        <v>33</v>
      </c>
      <c r="T8" s="14" t="s">
        <v>33</v>
      </c>
      <c r="U8" s="14" t="s">
        <v>33</v>
      </c>
      <c r="V8" s="14" t="s">
        <v>33</v>
      </c>
      <c r="W8" s="14" t="s">
        <v>37</v>
      </c>
      <c r="X8" s="14" t="s">
        <v>33</v>
      </c>
      <c r="Y8" s="14" t="s">
        <v>37</v>
      </c>
      <c r="Z8" s="14" t="s">
        <v>37</v>
      </c>
      <c r="AA8" s="14" t="s">
        <v>37</v>
      </c>
      <c r="AB8" s="14" t="s">
        <v>37</v>
      </c>
      <c r="AC8" s="14" t="s">
        <v>37</v>
      </c>
      <c r="AD8" s="14" t="s">
        <v>37</v>
      </c>
      <c r="AE8" s="14" t="s">
        <v>33</v>
      </c>
      <c r="AF8" s="14" t="s">
        <v>33</v>
      </c>
      <c r="AG8" s="14" t="s">
        <v>33</v>
      </c>
      <c r="AH8" s="14" t="s">
        <v>33</v>
      </c>
      <c r="AI8" s="15">
        <f t="shared" si="0"/>
        <v>792000</v>
      </c>
      <c r="AJ8" s="15">
        <f t="shared" si="1"/>
        <v>0</v>
      </c>
    </row>
    <row r="9" spans="1:36">
      <c r="A9" s="6">
        <v>7</v>
      </c>
      <c r="B9" s="7" t="s">
        <v>48</v>
      </c>
      <c r="C9" s="7" t="s">
        <v>49</v>
      </c>
      <c r="D9" s="7" t="s">
        <v>50</v>
      </c>
      <c r="E9" s="8" t="s">
        <v>37</v>
      </c>
      <c r="F9" s="8" t="s">
        <v>37</v>
      </c>
      <c r="G9" s="8" t="s">
        <v>37</v>
      </c>
      <c r="H9" s="8" t="s">
        <v>37</v>
      </c>
      <c r="I9" s="8" t="s">
        <v>37</v>
      </c>
      <c r="J9" s="8" t="s">
        <v>37</v>
      </c>
      <c r="K9" s="8" t="s">
        <v>37</v>
      </c>
      <c r="L9" s="8" t="s">
        <v>37</v>
      </c>
      <c r="M9" s="8" t="s">
        <v>37</v>
      </c>
      <c r="N9" s="8" t="s">
        <v>37</v>
      </c>
      <c r="O9" s="8" t="s">
        <v>37</v>
      </c>
      <c r="P9" s="8"/>
      <c r="Q9" s="8" t="s">
        <v>33</v>
      </c>
      <c r="R9" s="8" t="s">
        <v>37</v>
      </c>
      <c r="S9" s="8" t="s">
        <v>33</v>
      </c>
      <c r="T9" s="8" t="s">
        <v>37</v>
      </c>
      <c r="U9" s="8" t="s">
        <v>33</v>
      </c>
      <c r="V9" s="8" t="s">
        <v>33</v>
      </c>
      <c r="W9" s="8" t="s">
        <v>33</v>
      </c>
      <c r="X9" s="8" t="s">
        <v>37</v>
      </c>
      <c r="Y9" s="8" t="s">
        <v>37</v>
      </c>
      <c r="Z9" s="8" t="s">
        <v>33</v>
      </c>
      <c r="AA9" s="8" t="s">
        <v>37</v>
      </c>
      <c r="AB9" s="8" t="s">
        <v>37</v>
      </c>
      <c r="AC9" s="8" t="s">
        <v>37</v>
      </c>
      <c r="AD9" s="8" t="s">
        <v>37</v>
      </c>
      <c r="AE9" s="8" t="s">
        <v>33</v>
      </c>
      <c r="AF9" s="8" t="s">
        <v>33</v>
      </c>
      <c r="AG9" s="8" t="s">
        <v>37</v>
      </c>
      <c r="AH9" s="8" t="s">
        <v>33</v>
      </c>
      <c r="AI9" s="9">
        <f>SUMIF(E9:AD9,"X",$E$2:$AD$2)-182000</f>
        <v>850000</v>
      </c>
      <c r="AJ9" s="9">
        <f t="shared" si="1"/>
        <v>165300</v>
      </c>
    </row>
    <row r="10" spans="1:36">
      <c r="A10" s="6">
        <v>8</v>
      </c>
      <c r="B10" s="7" t="s">
        <v>51</v>
      </c>
      <c r="C10" s="7" t="s">
        <v>47</v>
      </c>
      <c r="D10" s="7" t="s">
        <v>50</v>
      </c>
      <c r="E10" s="8" t="s">
        <v>37</v>
      </c>
      <c r="F10" s="8" t="s">
        <v>37</v>
      </c>
      <c r="G10" s="8" t="s">
        <v>37</v>
      </c>
      <c r="H10" s="8" t="s">
        <v>37</v>
      </c>
      <c r="I10" s="8" t="s">
        <v>37</v>
      </c>
      <c r="J10" s="8" t="s">
        <v>37</v>
      </c>
      <c r="K10" s="8" t="s">
        <v>37</v>
      </c>
      <c r="L10" s="8" t="s">
        <v>37</v>
      </c>
      <c r="M10" s="8" t="s">
        <v>37</v>
      </c>
      <c r="N10" s="8" t="s">
        <v>37</v>
      </c>
      <c r="O10" s="8" t="s">
        <v>37</v>
      </c>
      <c r="P10" s="8" t="s">
        <v>37</v>
      </c>
      <c r="Q10" s="8" t="s">
        <v>33</v>
      </c>
      <c r="R10" s="8" t="s">
        <v>37</v>
      </c>
      <c r="S10" s="8" t="s">
        <v>33</v>
      </c>
      <c r="T10" s="8" t="s">
        <v>33</v>
      </c>
      <c r="U10" s="8" t="s">
        <v>33</v>
      </c>
      <c r="V10" s="8" t="s">
        <v>33</v>
      </c>
      <c r="W10" s="8" t="s">
        <v>33</v>
      </c>
      <c r="X10" s="8" t="s">
        <v>37</v>
      </c>
      <c r="Y10" s="8" t="s">
        <v>37</v>
      </c>
      <c r="Z10" s="8" t="s">
        <v>33</v>
      </c>
      <c r="AA10" s="8" t="s">
        <v>37</v>
      </c>
      <c r="AB10" s="8" t="s">
        <v>37</v>
      </c>
      <c r="AC10" s="8" t="s">
        <v>37</v>
      </c>
      <c r="AD10" s="8" t="s">
        <v>37</v>
      </c>
      <c r="AE10" s="8" t="s">
        <v>37</v>
      </c>
      <c r="AF10" s="8" t="s">
        <v>33</v>
      </c>
      <c r="AG10" s="8" t="s">
        <v>33</v>
      </c>
      <c r="AH10" s="8" t="s">
        <v>37</v>
      </c>
      <c r="AI10" s="9">
        <f t="shared" si="0"/>
        <v>1028000</v>
      </c>
      <c r="AJ10" s="9">
        <f t="shared" si="1"/>
        <v>427500</v>
      </c>
    </row>
    <row r="11" spans="1:36">
      <c r="A11" s="6">
        <v>9</v>
      </c>
      <c r="B11" s="7" t="s">
        <v>52</v>
      </c>
      <c r="C11" s="7" t="s">
        <v>53</v>
      </c>
      <c r="D11" s="7" t="s">
        <v>50</v>
      </c>
      <c r="E11" s="8" t="s">
        <v>37</v>
      </c>
      <c r="F11" s="8" t="s">
        <v>37</v>
      </c>
      <c r="G11" s="8" t="s">
        <v>37</v>
      </c>
      <c r="H11" s="8" t="s">
        <v>37</v>
      </c>
      <c r="I11" s="8" t="s">
        <v>37</v>
      </c>
      <c r="J11" s="8" t="s">
        <v>37</v>
      </c>
      <c r="K11" s="8" t="s">
        <v>37</v>
      </c>
      <c r="L11" s="8" t="s">
        <v>37</v>
      </c>
      <c r="M11" s="8" t="s">
        <v>37</v>
      </c>
      <c r="N11" s="8" t="s">
        <v>37</v>
      </c>
      <c r="O11" s="8" t="s">
        <v>37</v>
      </c>
      <c r="P11" s="8" t="s">
        <v>37</v>
      </c>
      <c r="Q11" s="8" t="s">
        <v>33</v>
      </c>
      <c r="R11" s="8" t="s">
        <v>37</v>
      </c>
      <c r="S11" s="8" t="s">
        <v>33</v>
      </c>
      <c r="T11" s="8" t="s">
        <v>33</v>
      </c>
      <c r="U11" s="8" t="s">
        <v>33</v>
      </c>
      <c r="V11" s="8" t="s">
        <v>33</v>
      </c>
      <c r="W11" s="8" t="s">
        <v>33</v>
      </c>
      <c r="X11" s="8" t="s">
        <v>37</v>
      </c>
      <c r="Y11" s="8" t="s">
        <v>37</v>
      </c>
      <c r="Z11" s="8" t="s">
        <v>33</v>
      </c>
      <c r="AA11" s="8" t="s">
        <v>37</v>
      </c>
      <c r="AB11" s="8" t="s">
        <v>37</v>
      </c>
      <c r="AC11" s="8" t="s">
        <v>37</v>
      </c>
      <c r="AD11" s="8" t="s">
        <v>37</v>
      </c>
      <c r="AE11" s="8" t="s">
        <v>33</v>
      </c>
      <c r="AF11" s="8" t="s">
        <v>33</v>
      </c>
      <c r="AG11" s="8" t="s">
        <v>33</v>
      </c>
      <c r="AH11" s="8" t="s">
        <v>33</v>
      </c>
      <c r="AI11" s="9">
        <f t="shared" si="0"/>
        <v>1028000</v>
      </c>
      <c r="AJ11" s="9">
        <f t="shared" si="1"/>
        <v>0</v>
      </c>
    </row>
    <row r="12" spans="1:36">
      <c r="A12" s="6">
        <v>10</v>
      </c>
      <c r="B12" s="7" t="s">
        <v>54</v>
      </c>
      <c r="C12" s="7" t="s">
        <v>53</v>
      </c>
      <c r="D12" s="7" t="s">
        <v>50</v>
      </c>
      <c r="E12" s="8" t="s">
        <v>37</v>
      </c>
      <c r="F12" s="8" t="s">
        <v>37</v>
      </c>
      <c r="G12" s="8" t="s">
        <v>37</v>
      </c>
      <c r="H12" s="8" t="s">
        <v>37</v>
      </c>
      <c r="I12" s="8" t="s">
        <v>37</v>
      </c>
      <c r="J12" s="8" t="s">
        <v>37</v>
      </c>
      <c r="K12" s="8" t="s">
        <v>37</v>
      </c>
      <c r="L12" s="8" t="s">
        <v>37</v>
      </c>
      <c r="M12" s="8" t="s">
        <v>37</v>
      </c>
      <c r="N12" s="8" t="s">
        <v>37</v>
      </c>
      <c r="O12" s="8" t="s">
        <v>37</v>
      </c>
      <c r="P12" s="8" t="s">
        <v>37</v>
      </c>
      <c r="Q12" s="8" t="s">
        <v>33</v>
      </c>
      <c r="R12" s="8" t="s">
        <v>37</v>
      </c>
      <c r="S12" s="8" t="s">
        <v>33</v>
      </c>
      <c r="T12" s="8" t="s">
        <v>33</v>
      </c>
      <c r="U12" s="8" t="s">
        <v>33</v>
      </c>
      <c r="V12" s="8" t="s">
        <v>33</v>
      </c>
      <c r="W12" s="8" t="s">
        <v>33</v>
      </c>
      <c r="X12" s="8" t="s">
        <v>37</v>
      </c>
      <c r="Y12" s="8" t="s">
        <v>37</v>
      </c>
      <c r="Z12" s="8" t="s">
        <v>33</v>
      </c>
      <c r="AA12" s="8" t="s">
        <v>37</v>
      </c>
      <c r="AB12" s="8" t="s">
        <v>37</v>
      </c>
      <c r="AC12" s="8" t="s">
        <v>37</v>
      </c>
      <c r="AD12" s="8" t="s">
        <v>37</v>
      </c>
      <c r="AE12" s="8" t="s">
        <v>33</v>
      </c>
      <c r="AF12" s="8" t="s">
        <v>33</v>
      </c>
      <c r="AG12" s="8" t="s">
        <v>33</v>
      </c>
      <c r="AH12" s="8" t="s">
        <v>33</v>
      </c>
      <c r="AI12" s="9">
        <f t="shared" si="0"/>
        <v>1028000</v>
      </c>
      <c r="AJ12" s="9">
        <f t="shared" si="1"/>
        <v>0</v>
      </c>
    </row>
    <row r="13" spans="1:36" s="16" customFormat="1" ht="30">
      <c r="A13" s="12">
        <v>11</v>
      </c>
      <c r="B13" s="13" t="s">
        <v>55</v>
      </c>
      <c r="C13" s="13" t="s">
        <v>63</v>
      </c>
      <c r="D13" s="13" t="s">
        <v>50</v>
      </c>
      <c r="E13" s="14" t="s">
        <v>37</v>
      </c>
      <c r="F13" s="14" t="s">
        <v>37</v>
      </c>
      <c r="G13" s="14" t="s">
        <v>37</v>
      </c>
      <c r="H13" s="14" t="s">
        <v>37</v>
      </c>
      <c r="I13" s="14" t="s">
        <v>37</v>
      </c>
      <c r="J13" s="14" t="s">
        <v>37</v>
      </c>
      <c r="K13" s="14" t="s">
        <v>37</v>
      </c>
      <c r="L13" s="14" t="s">
        <v>37</v>
      </c>
      <c r="M13" s="14" t="s">
        <v>37</v>
      </c>
      <c r="N13" s="14" t="s">
        <v>33</v>
      </c>
      <c r="O13" s="14" t="s">
        <v>37</v>
      </c>
      <c r="P13" s="14" t="s">
        <v>33</v>
      </c>
      <c r="Q13" s="14" t="s">
        <v>33</v>
      </c>
      <c r="R13" s="14" t="s">
        <v>33</v>
      </c>
      <c r="S13" s="14" t="s">
        <v>33</v>
      </c>
      <c r="T13" s="14" t="s">
        <v>33</v>
      </c>
      <c r="U13" s="14" t="s">
        <v>33</v>
      </c>
      <c r="V13" s="14" t="s">
        <v>33</v>
      </c>
      <c r="W13" s="14" t="s">
        <v>33</v>
      </c>
      <c r="X13" s="14" t="s">
        <v>33</v>
      </c>
      <c r="Y13" s="14" t="s">
        <v>37</v>
      </c>
      <c r="Z13" s="14" t="s">
        <v>33</v>
      </c>
      <c r="AA13" s="14" t="s">
        <v>37</v>
      </c>
      <c r="AB13" s="14" t="s">
        <v>37</v>
      </c>
      <c r="AC13" s="14" t="s">
        <v>37</v>
      </c>
      <c r="AD13" s="14" t="s">
        <v>33</v>
      </c>
      <c r="AE13" s="14" t="s">
        <v>33</v>
      </c>
      <c r="AF13" s="14" t="s">
        <v>33</v>
      </c>
      <c r="AG13" s="14" t="s">
        <v>33</v>
      </c>
      <c r="AH13" s="14" t="s">
        <v>33</v>
      </c>
      <c r="AI13" s="15">
        <f t="shared" si="0"/>
        <v>586000</v>
      </c>
      <c r="AJ13" s="15">
        <f t="shared" si="1"/>
        <v>0</v>
      </c>
    </row>
    <row r="14" spans="1:36">
      <c r="A14" s="6">
        <v>12</v>
      </c>
      <c r="B14" s="7" t="s">
        <v>56</v>
      </c>
      <c r="C14" s="7" t="s">
        <v>57</v>
      </c>
      <c r="D14" s="7" t="s">
        <v>50</v>
      </c>
      <c r="E14" s="8" t="s">
        <v>37</v>
      </c>
      <c r="F14" s="8" t="s">
        <v>37</v>
      </c>
      <c r="G14" s="8" t="s">
        <v>37</v>
      </c>
      <c r="H14" s="8" t="s">
        <v>37</v>
      </c>
      <c r="I14" s="8" t="s">
        <v>37</v>
      </c>
      <c r="J14" s="8" t="s">
        <v>37</v>
      </c>
      <c r="K14" s="8" t="s">
        <v>37</v>
      </c>
      <c r="L14" s="8" t="s">
        <v>37</v>
      </c>
      <c r="M14" s="8" t="s">
        <v>37</v>
      </c>
      <c r="N14" s="8" t="s">
        <v>37</v>
      </c>
      <c r="O14" s="8" t="s">
        <v>37</v>
      </c>
      <c r="P14" s="8" t="s">
        <v>37</v>
      </c>
      <c r="Q14" s="8" t="s">
        <v>33</v>
      </c>
      <c r="R14" s="8" t="s">
        <v>37</v>
      </c>
      <c r="S14" s="8" t="s">
        <v>33</v>
      </c>
      <c r="T14" s="8" t="s">
        <v>33</v>
      </c>
      <c r="U14" s="8" t="s">
        <v>33</v>
      </c>
      <c r="V14" s="8" t="s">
        <v>33</v>
      </c>
      <c r="W14" s="8" t="s">
        <v>33</v>
      </c>
      <c r="X14" s="8" t="s">
        <v>37</v>
      </c>
      <c r="Y14" s="8" t="s">
        <v>37</v>
      </c>
      <c r="Z14" s="8" t="s">
        <v>33</v>
      </c>
      <c r="AA14" s="8" t="s">
        <v>37</v>
      </c>
      <c r="AB14" s="8" t="s">
        <v>37</v>
      </c>
      <c r="AC14" s="8" t="s">
        <v>37</v>
      </c>
      <c r="AD14" s="8" t="s">
        <v>37</v>
      </c>
      <c r="AE14" s="8" t="s">
        <v>33</v>
      </c>
      <c r="AF14" s="8" t="s">
        <v>33</v>
      </c>
      <c r="AG14" s="8" t="s">
        <v>33</v>
      </c>
      <c r="AH14" s="8" t="s">
        <v>33</v>
      </c>
      <c r="AI14" s="9">
        <f t="shared" si="0"/>
        <v>1028000</v>
      </c>
      <c r="AJ14" s="9">
        <f t="shared" si="1"/>
        <v>0</v>
      </c>
    </row>
    <row r="15" spans="1:36">
      <c r="A15" s="6">
        <v>13</v>
      </c>
      <c r="B15" s="7" t="s">
        <v>58</v>
      </c>
      <c r="C15" s="7" t="s">
        <v>59</v>
      </c>
      <c r="D15" s="7" t="s">
        <v>50</v>
      </c>
      <c r="E15" s="8" t="s">
        <v>37</v>
      </c>
      <c r="F15" s="8" t="s">
        <v>37</v>
      </c>
      <c r="G15" s="8" t="s">
        <v>37</v>
      </c>
      <c r="H15" s="8" t="s">
        <v>37</v>
      </c>
      <c r="I15" s="8" t="s">
        <v>37</v>
      </c>
      <c r="J15" s="8" t="s">
        <v>37</v>
      </c>
      <c r="K15" s="8" t="s">
        <v>37</v>
      </c>
      <c r="L15" s="8" t="s">
        <v>37</v>
      </c>
      <c r="M15" s="8" t="s">
        <v>37</v>
      </c>
      <c r="N15" s="8" t="s">
        <v>37</v>
      </c>
      <c r="O15" s="8" t="s">
        <v>37</v>
      </c>
      <c r="P15" s="8" t="s">
        <v>37</v>
      </c>
      <c r="Q15" s="8" t="s">
        <v>33</v>
      </c>
      <c r="R15" s="8" t="s">
        <v>37</v>
      </c>
      <c r="S15" s="8" t="s">
        <v>33</v>
      </c>
      <c r="T15" s="8" t="s">
        <v>33</v>
      </c>
      <c r="U15" s="8" t="s">
        <v>33</v>
      </c>
      <c r="V15" s="8" t="s">
        <v>33</v>
      </c>
      <c r="W15" s="8" t="s">
        <v>33</v>
      </c>
      <c r="X15" s="8" t="s">
        <v>37</v>
      </c>
      <c r="Y15" s="8" t="s">
        <v>37</v>
      </c>
      <c r="Z15" s="8" t="s">
        <v>33</v>
      </c>
      <c r="AA15" s="8" t="s">
        <v>37</v>
      </c>
      <c r="AB15" s="8" t="s">
        <v>37</v>
      </c>
      <c r="AC15" s="8" t="s">
        <v>37</v>
      </c>
      <c r="AD15" s="8" t="s">
        <v>37</v>
      </c>
      <c r="AE15" s="8" t="s">
        <v>33</v>
      </c>
      <c r="AF15" s="8" t="s">
        <v>33</v>
      </c>
      <c r="AG15" s="8" t="s">
        <v>33</v>
      </c>
      <c r="AH15" s="8" t="s">
        <v>33</v>
      </c>
      <c r="AI15" s="9">
        <f t="shared" si="0"/>
        <v>1028000</v>
      </c>
      <c r="AJ15" s="9">
        <f t="shared" si="1"/>
        <v>0</v>
      </c>
    </row>
    <row r="16" spans="1:36">
      <c r="AI16" s="17">
        <f>SUM(AI3:AI15)</f>
        <v>11896000</v>
      </c>
      <c r="AJ16" s="17">
        <f>SUM(AJ3:AJ15)</f>
        <v>829350</v>
      </c>
    </row>
  </sheetData>
  <mergeCells count="6">
    <mergeCell ref="AJ1:AJ2"/>
    <mergeCell ref="A1:A2"/>
    <mergeCell ref="B1:B2"/>
    <mergeCell ref="C1:C2"/>
    <mergeCell ref="D1:D2"/>
    <mergeCell ref="AI1:A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E017-B237-41BF-8889-E762B79505C7}">
  <dimension ref="A1:E14"/>
  <sheetViews>
    <sheetView tabSelected="1" workbookViewId="0">
      <selection activeCell="H10" sqref="H10"/>
    </sheetView>
  </sheetViews>
  <sheetFormatPr defaultRowHeight="15"/>
  <cols>
    <col min="1" max="1" width="5.140625" style="22" bestFit="1" customWidth="1"/>
    <col min="2" max="2" width="22.42578125" style="22" bestFit="1" customWidth="1"/>
    <col min="3" max="3" width="10.140625" style="22" bestFit="1" customWidth="1"/>
    <col min="4" max="4" width="9" style="22" bestFit="1" customWidth="1"/>
    <col min="5" max="5" width="11.28515625" style="22" bestFit="1" customWidth="1"/>
  </cols>
  <sheetData>
    <row r="1" spans="1:5" ht="15" customHeight="1">
      <c r="A1" s="31" t="s">
        <v>0</v>
      </c>
      <c r="B1" s="32" t="s">
        <v>1</v>
      </c>
      <c r="C1" s="28" t="s">
        <v>2</v>
      </c>
      <c r="D1" s="28" t="s">
        <v>3</v>
      </c>
      <c r="E1" s="28" t="s">
        <v>65</v>
      </c>
    </row>
    <row r="2" spans="1:5">
      <c r="A2" s="29">
        <v>1</v>
      </c>
      <c r="B2" s="6" t="s">
        <v>34</v>
      </c>
      <c r="C2" s="8" t="s">
        <v>35</v>
      </c>
      <c r="D2" s="29" t="s">
        <v>36</v>
      </c>
      <c r="E2" s="9">
        <v>1654000</v>
      </c>
    </row>
    <row r="3" spans="1:5">
      <c r="A3" s="29">
        <v>2</v>
      </c>
      <c r="B3" s="6" t="s">
        <v>38</v>
      </c>
      <c r="C3" s="8" t="s">
        <v>39</v>
      </c>
      <c r="D3" s="29" t="s">
        <v>36</v>
      </c>
      <c r="E3" s="9">
        <v>928000</v>
      </c>
    </row>
    <row r="4" spans="1:5">
      <c r="A4" s="29">
        <v>3</v>
      </c>
      <c r="B4" s="6" t="s">
        <v>40</v>
      </c>
      <c r="C4" s="8" t="s">
        <v>41</v>
      </c>
      <c r="D4" s="29" t="s">
        <v>36</v>
      </c>
      <c r="E4" s="9">
        <v>973000</v>
      </c>
    </row>
    <row r="5" spans="1:5">
      <c r="A5" s="29">
        <v>4</v>
      </c>
      <c r="B5" s="6" t="s">
        <v>42</v>
      </c>
      <c r="C5" s="8" t="s">
        <v>43</v>
      </c>
      <c r="D5" s="29" t="s">
        <v>36</v>
      </c>
      <c r="E5" s="9">
        <v>973000</v>
      </c>
    </row>
    <row r="6" spans="1:5" s="25" customFormat="1">
      <c r="A6" s="30">
        <v>5</v>
      </c>
      <c r="B6" s="23" t="s">
        <v>46</v>
      </c>
      <c r="C6" s="8" t="s">
        <v>47</v>
      </c>
      <c r="D6" s="30" t="s">
        <v>36</v>
      </c>
      <c r="E6" s="24">
        <v>792000</v>
      </c>
    </row>
    <row r="7" spans="1:5">
      <c r="A7" s="29">
        <v>6</v>
      </c>
      <c r="B7" s="6" t="s">
        <v>48</v>
      </c>
      <c r="C7" s="8" t="s">
        <v>49</v>
      </c>
      <c r="D7" s="29" t="s">
        <v>50</v>
      </c>
      <c r="E7" s="9">
        <v>850000</v>
      </c>
    </row>
    <row r="8" spans="1:5">
      <c r="A8" s="29">
        <v>7</v>
      </c>
      <c r="B8" s="6" t="s">
        <v>51</v>
      </c>
      <c r="C8" s="8" t="s">
        <v>47</v>
      </c>
      <c r="D8" s="29" t="s">
        <v>50</v>
      </c>
      <c r="E8" s="9">
        <v>1028000</v>
      </c>
    </row>
    <row r="9" spans="1:5">
      <c r="A9" s="29">
        <v>8</v>
      </c>
      <c r="B9" s="6" t="s">
        <v>52</v>
      </c>
      <c r="C9" s="8" t="s">
        <v>53</v>
      </c>
      <c r="D9" s="29" t="s">
        <v>50</v>
      </c>
      <c r="E9" s="9">
        <v>1028000</v>
      </c>
    </row>
    <row r="10" spans="1:5">
      <c r="A10" s="29">
        <v>9</v>
      </c>
      <c r="B10" s="6" t="s">
        <v>54</v>
      </c>
      <c r="C10" s="8" t="s">
        <v>53</v>
      </c>
      <c r="D10" s="29" t="s">
        <v>50</v>
      </c>
      <c r="E10" s="9">
        <v>1028000</v>
      </c>
    </row>
    <row r="11" spans="1:5" s="25" customFormat="1">
      <c r="A11" s="30">
        <v>10</v>
      </c>
      <c r="B11" s="23" t="s">
        <v>55</v>
      </c>
      <c r="C11" s="33" t="s">
        <v>67</v>
      </c>
      <c r="D11" s="30" t="s">
        <v>50</v>
      </c>
      <c r="E11" s="24">
        <v>586000</v>
      </c>
    </row>
    <row r="12" spans="1:5">
      <c r="A12" s="29">
        <v>11</v>
      </c>
      <c r="B12" s="6" t="s">
        <v>56</v>
      </c>
      <c r="C12" s="8" t="s">
        <v>57</v>
      </c>
      <c r="D12" s="29" t="s">
        <v>50</v>
      </c>
      <c r="E12" s="9">
        <v>1028000</v>
      </c>
    </row>
    <row r="13" spans="1:5">
      <c r="A13" s="29">
        <v>12</v>
      </c>
      <c r="B13" s="6" t="s">
        <v>58</v>
      </c>
      <c r="C13" s="8" t="s">
        <v>59</v>
      </c>
      <c r="D13" s="29" t="s">
        <v>50</v>
      </c>
      <c r="E13" s="9">
        <v>1028000</v>
      </c>
    </row>
    <row r="14" spans="1:5">
      <c r="A14" s="26" t="s">
        <v>66</v>
      </c>
      <c r="B14" s="26"/>
      <c r="C14" s="26"/>
      <c r="D14" s="26"/>
      <c r="E14" s="27">
        <f>SUM(E2:E13)</f>
        <v>11896000</v>
      </c>
    </row>
  </sheetData>
  <mergeCells count="1">
    <mergeCell ref="A14:D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BKCT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Giang Nguyễn</cp:lastModifiedBy>
  <dcterms:modified xsi:type="dcterms:W3CDTF">2025-05-27T08:23:49Z</dcterms:modified>
</cp:coreProperties>
</file>