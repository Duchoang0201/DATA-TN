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-TN\Hoàng\2025\T5\TỔNG CÔNG TY CỔ PHẦN BẢO HIỂM AAA - CHI NHÁNH QUẢNG NAM (83-2025)\"/>
    </mc:Choice>
  </mc:AlternateContent>
  <xr:revisionPtr revIDLastSave="0" documentId="13_ncr:1_{4755044B-37E4-4E9A-BF58-8B9B980041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ĐỐI SOÁT KẾ TOÁN" sheetId="2" r:id="rId1"/>
    <sheet name="Tổng hợp" sheetId="1" r:id="rId2"/>
  </sheets>
  <externalReferences>
    <externalReference r:id="rId3"/>
  </externalReferences>
  <definedNames>
    <definedName name="_xlnm._FilterDatabase" localSheetId="0">'ĐỐI SOÁT KẾ TOÁN'!$A$3:$AD$3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5" i="2" l="1"/>
  <c r="AK6" i="2"/>
  <c r="AK7" i="2"/>
  <c r="AK8" i="2"/>
  <c r="AK9" i="2"/>
  <c r="AK10" i="2"/>
  <c r="AK11" i="2"/>
  <c r="AK12" i="2"/>
  <c r="AK13" i="2"/>
  <c r="AK14" i="2"/>
  <c r="AK15" i="2"/>
  <c r="AK16" i="2"/>
  <c r="AK4" i="2"/>
  <c r="AI10" i="2" l="1"/>
  <c r="AI15" i="1"/>
  <c r="AI14" i="1"/>
  <c r="AI13" i="1"/>
  <c r="AI12" i="1"/>
  <c r="AI11" i="1"/>
  <c r="AI10" i="1"/>
  <c r="AI9" i="1"/>
  <c r="AI8" i="1"/>
  <c r="AI6" i="1"/>
  <c r="AI5" i="1"/>
  <c r="AI4" i="1"/>
  <c r="AI3" i="1"/>
  <c r="AL5" i="2"/>
  <c r="AL6" i="2"/>
  <c r="AL7" i="2"/>
  <c r="AL8" i="2"/>
  <c r="AL9" i="2"/>
  <c r="AL10" i="2"/>
  <c r="AL11" i="2"/>
  <c r="AL12" i="2"/>
  <c r="AL13" i="2"/>
  <c r="AL14" i="2"/>
  <c r="AL15" i="2"/>
  <c r="AL16" i="2"/>
  <c r="AL4" i="2"/>
  <c r="AJ16" i="2" l="1"/>
  <c r="AI16" i="2"/>
  <c r="AJ15" i="2"/>
  <c r="AI15" i="2"/>
  <c r="AJ14" i="2"/>
  <c r="AI14" i="2"/>
  <c r="AJ13" i="2"/>
  <c r="AI13" i="2"/>
  <c r="AJ12" i="2"/>
  <c r="AI12" i="2"/>
  <c r="AJ11" i="2"/>
  <c r="AI11" i="2"/>
  <c r="AJ10" i="2"/>
  <c r="AJ9" i="2"/>
  <c r="AI9" i="2"/>
  <c r="AJ8" i="2"/>
  <c r="AJ7" i="2"/>
  <c r="AI7" i="2"/>
  <c r="AJ6" i="2"/>
  <c r="AI6" i="2"/>
  <c r="AJ5" i="2"/>
  <c r="AI5" i="2"/>
  <c r="AJ4" i="2"/>
  <c r="AJ17" i="2" s="1"/>
  <c r="AI4" i="2"/>
  <c r="AI17" i="2" s="1"/>
  <c r="AJ4" i="1"/>
  <c r="AJ5" i="1"/>
  <c r="AJ6" i="1"/>
  <c r="AJ8" i="1"/>
  <c r="AJ9" i="1"/>
  <c r="AJ10" i="1"/>
  <c r="AJ11" i="1"/>
  <c r="AJ12" i="1"/>
  <c r="AJ13" i="1"/>
  <c r="AJ14" i="1"/>
  <c r="AJ15" i="1"/>
  <c r="AJ3" i="1"/>
  <c r="AJ16" i="1"/>
  <c r="AI16" i="1"/>
</calcChain>
</file>

<file path=xl/sharedStrings.xml><?xml version="1.0" encoding="utf-8"?>
<sst xmlns="http://schemas.openxmlformats.org/spreadsheetml/2006/main" count="969" uniqueCount="69">
  <si>
    <t>STT</t>
  </si>
  <si>
    <t>Họ và tên</t>
  </si>
  <si>
    <t>Ngày sinh</t>
  </si>
  <si>
    <t>Giới tính</t>
  </si>
  <si>
    <t>Khám Da Liễu-Khám Sức Khỏe (TT32_BYT)</t>
  </si>
  <si>
    <t>Khám Mắt-Khám Sức Khỏe (TT32_BYT)</t>
  </si>
  <si>
    <t>Khám Nội-Khám Sức Khỏe (TT32_BYT)</t>
  </si>
  <si>
    <t>Khám Ngoại-Khám Sức Khỏe (TT32_BYT)</t>
  </si>
  <si>
    <t>Khám RHM-Khám Sức Khỏe (TT32_BYT)</t>
  </si>
  <si>
    <t>Khám SPK-Khám Sức Khỏe (TT32_BYT)</t>
  </si>
  <si>
    <t>Khám TMH-Khám Sức Khỏe (TT32_BYT)</t>
  </si>
  <si>
    <t>Khám vú</t>
  </si>
  <si>
    <t>Tổng Kết Hồ Sơ Khám Sức Khỏe (TT32_BYT)</t>
  </si>
  <si>
    <t>Chụp X-quang tim phổi kỹ thuật số (hãng Fuji-Nhật)</t>
  </si>
  <si>
    <t>Siêu âm động mạch cảnh, đốt sống (Siêu âm Doppler màu mạch máu)</t>
  </si>
  <si>
    <t>Siêu âm màu Bụng Tổng Quát (Máy GE LOGIQ S7 Expert)</t>
  </si>
  <si>
    <t>Siêu âm màu Tuyến Giáp</t>
  </si>
  <si>
    <t>Siêu âm màu Tuyến Vú</t>
  </si>
  <si>
    <t>Siêu âm SPK trên máy E10</t>
  </si>
  <si>
    <t>Alpha FP (AFP)</t>
  </si>
  <si>
    <t>Bilirubin TP,TT,GT</t>
  </si>
  <si>
    <t>CA 19-9</t>
  </si>
  <si>
    <t>CA 72-4</t>
  </si>
  <si>
    <t>CEA</t>
  </si>
  <si>
    <t>CYFRA 21.1</t>
  </si>
  <si>
    <t>Định lượng ACID URIC máu</t>
  </si>
  <si>
    <t>Định lượng CREATINIE máu</t>
  </si>
  <si>
    <t>Định lượng GLUCOSE máu</t>
  </si>
  <si>
    <t>Gamma GT</t>
  </si>
  <si>
    <t>LDL-cholesterol</t>
  </si>
  <si>
    <t>NƯỚC TIỂU 10 THÔNG SỐ (KSK)</t>
  </si>
  <si>
    <t>Tổng phân tích tế bào máu bằng máy laser</t>
  </si>
  <si>
    <t>Triglyceride</t>
  </si>
  <si>
    <t/>
  </si>
  <si>
    <t>Đăng ký</t>
  </si>
  <si>
    <t>Lê Xuân Vinh</t>
  </si>
  <si>
    <t>1983</t>
  </si>
  <si>
    <t>Nam</t>
  </si>
  <si>
    <t>X</t>
  </si>
  <si>
    <t>Trần Văn Thư</t>
  </si>
  <si>
    <t>1979</t>
  </si>
  <si>
    <t>Võ Hữu Thiên</t>
  </si>
  <si>
    <t>1987</t>
  </si>
  <si>
    <t>Võ Thân Ái</t>
  </si>
  <si>
    <t>1968</t>
  </si>
  <si>
    <t>Thái Bá Hùng</t>
  </si>
  <si>
    <t>1976</t>
  </si>
  <si>
    <t>Nguyễn Văn Hồng</t>
  </si>
  <si>
    <t>1985</t>
  </si>
  <si>
    <t>Võ Thị Vy</t>
  </si>
  <si>
    <t>1986</t>
  </si>
  <si>
    <t>Nữ</t>
  </si>
  <si>
    <t>Lê Thị Lan</t>
  </si>
  <si>
    <t>Bùi Thị Thiên Ân</t>
  </si>
  <si>
    <t>1980</t>
  </si>
  <si>
    <t>Tô Thị Thu Thủy</t>
  </si>
  <si>
    <t>Lê Thị Hồng Linh</t>
  </si>
  <si>
    <t>23/04/1988</t>
  </si>
  <si>
    <t>Nguyễn Ngọc Kim Ngân</t>
  </si>
  <si>
    <t>1994</t>
  </si>
  <si>
    <t>Nguyễn Thị Hồng Hạnh</t>
  </si>
  <si>
    <t>1984</t>
  </si>
  <si>
    <t>Ưu đãi trong gói</t>
  </si>
  <si>
    <t>AST (SGOT),ALT (SGPT)</t>
  </si>
  <si>
    <t>Chi phí trong gói khám</t>
  </si>
  <si>
    <t>Chi phí phát sinh</t>
  </si>
  <si>
    <t>Số kế toán</t>
  </si>
  <si>
    <t>Chênh lệch</t>
  </si>
  <si>
    <t>Không khám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</si>
</sst>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name val="Times New Roman"/>
    </font>
    <font>
      <b/>
      <sz val="11"/>
      <name val="Times New Roman"/>
    </font>
    <font>
      <b/>
      <sz val="1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/>
    </xf>
    <xf numFmtId="0" fontId="0" fillId="0" borderId="0" xfId="0" applyAlignment="1">
      <alignment horizontal="center"/>
    </xf>
    <xf numFmtId="3" fontId="1" fillId="0" borderId="5" xfId="0" applyNumberFormat="1" applyFont="1" applyBorder="1" applyAlignment="1">
      <alignment horizontal="center" vertical="top"/>
    </xf>
    <xf numFmtId="3" fontId="1" fillId="0" borderId="3" xfId="0" applyNumberFormat="1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3" fontId="4" fillId="3" borderId="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/>
    <xf numFmtId="0" fontId="2" fillId="0" borderId="4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DATA-TN\Ho&#224;ng\2025\T5\T&#7892;NG%20C&#212;NG%20TY%20C&#7892;%20PH&#7846;N%20B&#7842;O%20HI&#7874;M%20AAA%20-%20CHI%20NH&#193;NH%20QU&#7842;NG%20NAM%20(83-2025)\T&#7893;ng%20h&#7907;p%20-%20H&#272;%2083%20-%20K&#7870;%20TO&#193;N%20CH&#211;T%20FINAL.xlsx" TargetMode="External"/><Relationship Id="rId1" Type="http://schemas.openxmlformats.org/officeDocument/2006/relationships/externalLinkPath" Target="T&#7893;ng%20h&#7907;p%20-%20H&#272;%2083%20-%20K&#7870;%20TO&#193;N%20CH&#211;T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ổng hợp"/>
    </sheetNames>
    <sheetDataSet>
      <sheetData sheetId="0">
        <row r="3">
          <cell r="B3" t="str">
            <v>Lê Xuân Vinh</v>
          </cell>
          <cell r="C3" t="str">
            <v>1983</v>
          </cell>
          <cell r="D3" t="str">
            <v>Nam</v>
          </cell>
          <cell r="E3" t="str">
            <v>NV01</v>
          </cell>
          <cell r="F3">
            <v>1654000</v>
          </cell>
          <cell r="G3">
            <v>236550</v>
          </cell>
          <cell r="H3">
            <v>1890550</v>
          </cell>
          <cell r="I3">
            <v>1654000</v>
          </cell>
        </row>
        <row r="4">
          <cell r="B4" t="str">
            <v>Trần Văn Thư</v>
          </cell>
          <cell r="C4" t="str">
            <v>1979</v>
          </cell>
          <cell r="D4" t="str">
            <v>Nam</v>
          </cell>
          <cell r="E4" t="str">
            <v>NV02</v>
          </cell>
          <cell r="F4">
            <v>928000</v>
          </cell>
          <cell r="H4">
            <v>928000</v>
          </cell>
          <cell r="I4">
            <v>928000</v>
          </cell>
        </row>
        <row r="5">
          <cell r="B5" t="str">
            <v>Võ Hữu Thiên</v>
          </cell>
          <cell r="C5" t="str">
            <v>1987</v>
          </cell>
          <cell r="D5" t="str">
            <v>Nam</v>
          </cell>
          <cell r="E5" t="str">
            <v>NV03</v>
          </cell>
          <cell r="F5">
            <v>973000</v>
          </cell>
          <cell r="H5">
            <v>973000</v>
          </cell>
          <cell r="I5">
            <v>973000</v>
          </cell>
        </row>
        <row r="6">
          <cell r="B6" t="str">
            <v>Võ Thân Ái</v>
          </cell>
          <cell r="C6" t="str">
            <v>1968</v>
          </cell>
          <cell r="D6" t="str">
            <v>Nam</v>
          </cell>
          <cell r="E6" t="str">
            <v>NV04</v>
          </cell>
          <cell r="F6">
            <v>973000</v>
          </cell>
          <cell r="H6">
            <v>973000</v>
          </cell>
          <cell r="I6">
            <v>973000</v>
          </cell>
        </row>
        <row r="7">
          <cell r="B7" t="str">
            <v>Thái Bá Hùng</v>
          </cell>
          <cell r="C7" t="str">
            <v>1976</v>
          </cell>
          <cell r="D7" t="str">
            <v>Nam</v>
          </cell>
          <cell r="E7" t="str">
            <v>NV05</v>
          </cell>
          <cell r="F7">
            <v>0</v>
          </cell>
          <cell r="H7">
            <v>0</v>
          </cell>
          <cell r="I7">
            <v>0</v>
          </cell>
        </row>
        <row r="8">
          <cell r="B8" t="str">
            <v>Nguyễn Văn Hồng</v>
          </cell>
          <cell r="C8" t="str">
            <v>1985</v>
          </cell>
          <cell r="D8" t="str">
            <v>Nam</v>
          </cell>
          <cell r="E8" t="str">
            <v>NV06</v>
          </cell>
          <cell r="F8">
            <v>792000</v>
          </cell>
          <cell r="H8">
            <v>792000</v>
          </cell>
          <cell r="I8">
            <v>792000</v>
          </cell>
        </row>
        <row r="9">
          <cell r="B9" t="str">
            <v>Võ Thị Vy</v>
          </cell>
          <cell r="C9" t="str">
            <v>1986</v>
          </cell>
          <cell r="D9" t="str">
            <v>Nữ</v>
          </cell>
          <cell r="E9" t="str">
            <v>NV07</v>
          </cell>
          <cell r="F9">
            <v>850000</v>
          </cell>
          <cell r="G9">
            <v>347700</v>
          </cell>
          <cell r="H9">
            <v>1197700</v>
          </cell>
          <cell r="I9">
            <v>850000</v>
          </cell>
        </row>
        <row r="10">
          <cell r="B10" t="str">
            <v>Lê Thị Lan</v>
          </cell>
          <cell r="C10" t="str">
            <v>1985</v>
          </cell>
          <cell r="D10" t="str">
            <v>Nữ</v>
          </cell>
          <cell r="E10" t="str">
            <v>NV08</v>
          </cell>
          <cell r="F10">
            <v>1028000</v>
          </cell>
          <cell r="G10">
            <v>427500</v>
          </cell>
          <cell r="H10">
            <v>1455500</v>
          </cell>
          <cell r="I10">
            <v>1028000</v>
          </cell>
        </row>
        <row r="11">
          <cell r="B11" t="str">
            <v>Bùi Thị Thiên Ân</v>
          </cell>
          <cell r="C11" t="str">
            <v>1980</v>
          </cell>
          <cell r="D11" t="str">
            <v>Nữ</v>
          </cell>
          <cell r="E11" t="str">
            <v>NV09</v>
          </cell>
          <cell r="F11">
            <v>1028000</v>
          </cell>
          <cell r="H11">
            <v>1028000</v>
          </cell>
          <cell r="I11">
            <v>1028000</v>
          </cell>
        </row>
        <row r="12">
          <cell r="B12" t="str">
            <v>Tô Thị Thu Thủy</v>
          </cell>
          <cell r="C12" t="str">
            <v>1980</v>
          </cell>
          <cell r="D12" t="str">
            <v>Nữ</v>
          </cell>
          <cell r="E12" t="str">
            <v>NV10</v>
          </cell>
          <cell r="F12">
            <v>1028000</v>
          </cell>
          <cell r="H12">
            <v>1028000</v>
          </cell>
          <cell r="I12">
            <v>1028000</v>
          </cell>
        </row>
        <row r="13">
          <cell r="B13" t="str">
            <v>Lê Thị Hồng Linh</v>
          </cell>
          <cell r="C13" t="str">
            <v>23/04/1988</v>
          </cell>
          <cell r="D13" t="str">
            <v>Nữ</v>
          </cell>
          <cell r="E13" t="str">
            <v>NV12</v>
          </cell>
          <cell r="F13">
            <v>586000</v>
          </cell>
          <cell r="H13">
            <v>586000</v>
          </cell>
          <cell r="I13">
            <v>586000</v>
          </cell>
        </row>
        <row r="14">
          <cell r="B14" t="str">
            <v>Nguyễn Ngọc Kim Ngân</v>
          </cell>
          <cell r="C14" t="str">
            <v>1994</v>
          </cell>
          <cell r="D14" t="str">
            <v>Nữ</v>
          </cell>
          <cell r="E14" t="str">
            <v>NV13</v>
          </cell>
          <cell r="F14">
            <v>1028000</v>
          </cell>
          <cell r="H14">
            <v>1028000</v>
          </cell>
          <cell r="I14">
            <v>1028000</v>
          </cell>
        </row>
        <row r="15">
          <cell r="B15" t="str">
            <v>Nguyễn Thị Hồng Hạnh</v>
          </cell>
          <cell r="C15" t="str">
            <v>1984</v>
          </cell>
          <cell r="D15" t="str">
            <v>Nữ</v>
          </cell>
          <cell r="E15" t="str">
            <v>NV11</v>
          </cell>
          <cell r="F15">
            <v>1028000</v>
          </cell>
          <cell r="H15">
            <v>1028000</v>
          </cell>
          <cell r="I15">
            <v>1028000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932D8-71BA-413A-8C5D-0D4AB437D910}">
  <dimension ref="A1:AL17"/>
  <sheetViews>
    <sheetView tabSelected="1" topLeftCell="AA4" workbookViewId="0">
      <selection activeCell="AC16" sqref="AC16"/>
    </sheetView>
  </sheetViews>
  <sheetFormatPr defaultRowHeight="15"/>
  <cols>
    <col min="2" max="2" width="25" customWidth="1"/>
    <col min="3" max="3" width="10" customWidth="1"/>
    <col min="5" max="38" width="15" style="3" customWidth="1"/>
  </cols>
  <sheetData>
    <row r="1" spans="1:38" ht="71.25">
      <c r="A1" s="21" t="s">
        <v>0</v>
      </c>
      <c r="B1" s="21" t="s">
        <v>1</v>
      </c>
      <c r="C1" s="21" t="s">
        <v>2</v>
      </c>
      <c r="D1" s="2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15</v>
      </c>
      <c r="P1" s="10" t="s">
        <v>18</v>
      </c>
      <c r="Q1" s="10" t="s">
        <v>19</v>
      </c>
      <c r="R1" s="11" t="s">
        <v>63</v>
      </c>
      <c r="S1" s="10" t="s">
        <v>20</v>
      </c>
      <c r="T1" s="10" t="s">
        <v>21</v>
      </c>
      <c r="U1" s="10" t="s">
        <v>22</v>
      </c>
      <c r="V1" s="10" t="s">
        <v>24</v>
      </c>
      <c r="W1" s="10" t="s">
        <v>25</v>
      </c>
      <c r="X1" s="10" t="s">
        <v>26</v>
      </c>
      <c r="Y1" s="10" t="s">
        <v>27</v>
      </c>
      <c r="Z1" s="10" t="s">
        <v>28</v>
      </c>
      <c r="AA1" s="10" t="s">
        <v>29</v>
      </c>
      <c r="AB1" s="10" t="s">
        <v>32</v>
      </c>
      <c r="AC1" s="10" t="s">
        <v>30</v>
      </c>
      <c r="AD1" s="10" t="s">
        <v>31</v>
      </c>
      <c r="AE1" s="8" t="s">
        <v>16</v>
      </c>
      <c r="AF1" s="8" t="s">
        <v>14</v>
      </c>
      <c r="AG1" s="8" t="s">
        <v>23</v>
      </c>
      <c r="AH1" s="8" t="s">
        <v>17</v>
      </c>
      <c r="AI1" s="19" t="s">
        <v>64</v>
      </c>
      <c r="AJ1" s="19" t="s">
        <v>65</v>
      </c>
      <c r="AK1" s="19" t="s">
        <v>66</v>
      </c>
      <c r="AL1" s="19" t="s">
        <v>67</v>
      </c>
    </row>
    <row r="2" spans="1:38" ht="28.5">
      <c r="A2" s="22"/>
      <c r="B2" s="22"/>
      <c r="C2" s="22"/>
      <c r="D2" s="22"/>
      <c r="E2" s="12">
        <v>20000</v>
      </c>
      <c r="F2" s="12">
        <v>20000</v>
      </c>
      <c r="G2" s="12">
        <v>90000</v>
      </c>
      <c r="H2" s="12">
        <v>20000</v>
      </c>
      <c r="I2" s="12">
        <v>20000</v>
      </c>
      <c r="J2" s="13" t="s">
        <v>62</v>
      </c>
      <c r="K2" s="12">
        <v>20000</v>
      </c>
      <c r="L2" s="13" t="s">
        <v>62</v>
      </c>
      <c r="M2" s="13" t="s">
        <v>62</v>
      </c>
      <c r="N2" s="12">
        <v>97000</v>
      </c>
      <c r="O2" s="12">
        <v>219000</v>
      </c>
      <c r="P2" s="12">
        <v>178000</v>
      </c>
      <c r="Q2" s="12">
        <v>115000</v>
      </c>
      <c r="R2" s="12">
        <v>57000</v>
      </c>
      <c r="S2" s="12">
        <v>45000</v>
      </c>
      <c r="T2" s="12">
        <v>182000</v>
      </c>
      <c r="U2" s="12">
        <v>220000</v>
      </c>
      <c r="V2" s="12">
        <v>164000</v>
      </c>
      <c r="W2" s="12">
        <v>39000</v>
      </c>
      <c r="X2" s="12">
        <v>39000</v>
      </c>
      <c r="Y2" s="12">
        <v>26000</v>
      </c>
      <c r="Z2" s="12">
        <v>39000</v>
      </c>
      <c r="AA2" s="12">
        <v>56000</v>
      </c>
      <c r="AB2" s="12">
        <v>39000</v>
      </c>
      <c r="AC2" s="12">
        <v>56000</v>
      </c>
      <c r="AD2" s="12">
        <v>71000</v>
      </c>
      <c r="AE2" s="9">
        <v>218500</v>
      </c>
      <c r="AF2" s="9">
        <v>236550</v>
      </c>
      <c r="AG2" s="9">
        <v>165300</v>
      </c>
      <c r="AH2" s="9">
        <v>209000</v>
      </c>
      <c r="AI2" s="20"/>
      <c r="AJ2" s="20"/>
      <c r="AK2" s="20"/>
      <c r="AL2" s="20"/>
    </row>
    <row r="3" spans="1:38">
      <c r="A3" s="23"/>
      <c r="B3" s="23"/>
      <c r="C3" s="23"/>
      <c r="D3" s="23"/>
      <c r="E3" s="6" t="s">
        <v>34</v>
      </c>
      <c r="F3" s="6" t="s">
        <v>34</v>
      </c>
      <c r="G3" s="6" t="s">
        <v>34</v>
      </c>
      <c r="H3" s="6" t="s">
        <v>34</v>
      </c>
      <c r="I3" s="6" t="s">
        <v>34</v>
      </c>
      <c r="J3" s="6" t="s">
        <v>34</v>
      </c>
      <c r="K3" s="6" t="s">
        <v>34</v>
      </c>
      <c r="L3" s="6" t="s">
        <v>34</v>
      </c>
      <c r="M3" s="6" t="s">
        <v>34</v>
      </c>
      <c r="N3" s="6" t="s">
        <v>34</v>
      </c>
      <c r="O3" s="6" t="s">
        <v>34</v>
      </c>
      <c r="P3" s="6" t="s">
        <v>34</v>
      </c>
      <c r="Q3" s="6" t="s">
        <v>34</v>
      </c>
      <c r="R3" s="6" t="s">
        <v>34</v>
      </c>
      <c r="S3" s="6" t="s">
        <v>34</v>
      </c>
      <c r="T3" s="6" t="s">
        <v>34</v>
      </c>
      <c r="U3" s="6" t="s">
        <v>34</v>
      </c>
      <c r="V3" s="6" t="s">
        <v>34</v>
      </c>
      <c r="W3" s="6" t="s">
        <v>34</v>
      </c>
      <c r="X3" s="6" t="s">
        <v>34</v>
      </c>
      <c r="Y3" s="6" t="s">
        <v>34</v>
      </c>
      <c r="Z3" s="6" t="s">
        <v>34</v>
      </c>
      <c r="AA3" s="6" t="s">
        <v>34</v>
      </c>
      <c r="AB3" s="6" t="s">
        <v>34</v>
      </c>
      <c r="AC3" s="6" t="s">
        <v>34</v>
      </c>
      <c r="AD3" s="6" t="s">
        <v>34</v>
      </c>
      <c r="AE3" s="6" t="s">
        <v>34</v>
      </c>
      <c r="AF3" s="6" t="s">
        <v>34</v>
      </c>
      <c r="AG3" s="6" t="s">
        <v>34</v>
      </c>
      <c r="AH3" s="6" t="s">
        <v>34</v>
      </c>
      <c r="AI3" s="6"/>
      <c r="AJ3" s="6"/>
      <c r="AK3" s="6"/>
      <c r="AL3" s="6"/>
    </row>
    <row r="4" spans="1:38">
      <c r="A4" s="2">
        <v>1</v>
      </c>
      <c r="B4" s="1" t="s">
        <v>35</v>
      </c>
      <c r="C4" s="1" t="s">
        <v>36</v>
      </c>
      <c r="D4" s="1" t="s">
        <v>37</v>
      </c>
      <c r="E4" s="7" t="s">
        <v>38</v>
      </c>
      <c r="F4" s="7" t="s">
        <v>38</v>
      </c>
      <c r="G4" s="7" t="s">
        <v>38</v>
      </c>
      <c r="H4" s="7" t="s">
        <v>38</v>
      </c>
      <c r="I4" s="7" t="s">
        <v>38</v>
      </c>
      <c r="J4" s="7" t="s">
        <v>33</v>
      </c>
      <c r="K4" s="7" t="s">
        <v>38</v>
      </c>
      <c r="L4" s="7" t="s">
        <v>33</v>
      </c>
      <c r="M4" s="7" t="s">
        <v>38</v>
      </c>
      <c r="N4" s="7" t="s">
        <v>38</v>
      </c>
      <c r="O4" s="7" t="s">
        <v>38</v>
      </c>
      <c r="P4" s="7" t="s">
        <v>33</v>
      </c>
      <c r="Q4" s="7" t="s">
        <v>38</v>
      </c>
      <c r="R4" s="7" t="s">
        <v>38</v>
      </c>
      <c r="S4" s="7" t="s">
        <v>38</v>
      </c>
      <c r="T4" s="7" t="s">
        <v>38</v>
      </c>
      <c r="U4" s="7" t="s">
        <v>38</v>
      </c>
      <c r="V4" s="7" t="s">
        <v>38</v>
      </c>
      <c r="W4" s="7" t="s">
        <v>38</v>
      </c>
      <c r="X4" s="7" t="s">
        <v>38</v>
      </c>
      <c r="Y4" s="7" t="s">
        <v>38</v>
      </c>
      <c r="Z4" s="7" t="s">
        <v>38</v>
      </c>
      <c r="AA4" s="7" t="s">
        <v>38</v>
      </c>
      <c r="AB4" s="7" t="s">
        <v>38</v>
      </c>
      <c r="AC4" s="7" t="s">
        <v>38</v>
      </c>
      <c r="AD4" s="7" t="s">
        <v>38</v>
      </c>
      <c r="AE4" s="7" t="s">
        <v>33</v>
      </c>
      <c r="AF4" s="7" t="s">
        <v>38</v>
      </c>
      <c r="AG4" s="7" t="s">
        <v>33</v>
      </c>
      <c r="AH4" s="7" t="s">
        <v>33</v>
      </c>
      <c r="AI4" s="4">
        <f>SUMIF(E4:AD4,"X",$E$2:$AD$2)</f>
        <v>1654000</v>
      </c>
      <c r="AJ4" s="4">
        <f>SUMIF(AE4:AH4,"X",$AE$2:$AH$2)</f>
        <v>236550</v>
      </c>
      <c r="AK4" s="4">
        <f>VLOOKUP(B4,'[1]Tổng hợp'!$B$3:$I$15,8,0)</f>
        <v>1654000</v>
      </c>
      <c r="AL4" s="4">
        <f>AI4-AK4</f>
        <v>0</v>
      </c>
    </row>
    <row r="5" spans="1:38">
      <c r="A5" s="2">
        <v>2</v>
      </c>
      <c r="B5" s="1" t="s">
        <v>39</v>
      </c>
      <c r="C5" s="1" t="s">
        <v>40</v>
      </c>
      <c r="D5" s="1" t="s">
        <v>37</v>
      </c>
      <c r="E5" s="7" t="s">
        <v>38</v>
      </c>
      <c r="F5" s="7" t="s">
        <v>38</v>
      </c>
      <c r="G5" s="7" t="s">
        <v>38</v>
      </c>
      <c r="H5" s="7" t="s">
        <v>38</v>
      </c>
      <c r="I5" s="7" t="s">
        <v>38</v>
      </c>
      <c r="J5" s="7" t="s">
        <v>33</v>
      </c>
      <c r="K5" s="7" t="s">
        <v>38</v>
      </c>
      <c r="L5" s="7" t="s">
        <v>33</v>
      </c>
      <c r="M5" s="7" t="s">
        <v>38</v>
      </c>
      <c r="N5" s="7" t="s">
        <v>38</v>
      </c>
      <c r="O5" s="7" t="s">
        <v>38</v>
      </c>
      <c r="P5" s="7" t="s">
        <v>33</v>
      </c>
      <c r="Q5" s="7" t="s">
        <v>33</v>
      </c>
      <c r="R5" s="7" t="s">
        <v>38</v>
      </c>
      <c r="S5" s="7" t="s">
        <v>33</v>
      </c>
      <c r="T5" s="7" t="s">
        <v>33</v>
      </c>
      <c r="U5" s="7" t="s">
        <v>33</v>
      </c>
      <c r="V5" s="7" t="s">
        <v>33</v>
      </c>
      <c r="W5" s="7" t="s">
        <v>38</v>
      </c>
      <c r="X5" s="7" t="s">
        <v>38</v>
      </c>
      <c r="Y5" s="7" t="s">
        <v>38</v>
      </c>
      <c r="Z5" s="7" t="s">
        <v>38</v>
      </c>
      <c r="AA5" s="7" t="s">
        <v>38</v>
      </c>
      <c r="AB5" s="7" t="s">
        <v>38</v>
      </c>
      <c r="AC5" s="7" t="s">
        <v>38</v>
      </c>
      <c r="AD5" s="7" t="s">
        <v>38</v>
      </c>
      <c r="AE5" s="7" t="s">
        <v>33</v>
      </c>
      <c r="AF5" s="7" t="s">
        <v>33</v>
      </c>
      <c r="AG5" s="7" t="s">
        <v>33</v>
      </c>
      <c r="AH5" s="7" t="s">
        <v>33</v>
      </c>
      <c r="AI5" s="4">
        <f t="shared" ref="AI5:AI16" si="0">SUMIF(E5:AD5,"X",$E$2:$AD$2)</f>
        <v>928000</v>
      </c>
      <c r="AJ5" s="4">
        <f t="shared" ref="AJ5:AJ16" si="1">SUMIF(AE5:AH5,"X",$AE$2:$AH$2)</f>
        <v>0</v>
      </c>
      <c r="AK5" s="4">
        <f>VLOOKUP(B5,'[1]Tổng hợp'!$B$3:$I$15,8,0)</f>
        <v>928000</v>
      </c>
      <c r="AL5" s="4">
        <f t="shared" ref="AL5:AL16" si="2">AI5-AK5</f>
        <v>0</v>
      </c>
    </row>
    <row r="6" spans="1:38">
      <c r="A6" s="2">
        <v>3</v>
      </c>
      <c r="B6" s="1" t="s">
        <v>41</v>
      </c>
      <c r="C6" s="1" t="s">
        <v>42</v>
      </c>
      <c r="D6" s="1" t="s">
        <v>37</v>
      </c>
      <c r="E6" s="7" t="s">
        <v>38</v>
      </c>
      <c r="F6" s="7" t="s">
        <v>38</v>
      </c>
      <c r="G6" s="7" t="s">
        <v>38</v>
      </c>
      <c r="H6" s="7" t="s">
        <v>38</v>
      </c>
      <c r="I6" s="7" t="s">
        <v>38</v>
      </c>
      <c r="J6" s="7" t="s">
        <v>33</v>
      </c>
      <c r="K6" s="7" t="s">
        <v>38</v>
      </c>
      <c r="L6" s="7" t="s">
        <v>33</v>
      </c>
      <c r="M6" s="7" t="s">
        <v>38</v>
      </c>
      <c r="N6" s="7" t="s">
        <v>38</v>
      </c>
      <c r="O6" s="7" t="s">
        <v>38</v>
      </c>
      <c r="P6" s="7" t="s">
        <v>33</v>
      </c>
      <c r="Q6" s="7" t="s">
        <v>33</v>
      </c>
      <c r="R6" s="7" t="s">
        <v>38</v>
      </c>
      <c r="S6" s="7" t="s">
        <v>38</v>
      </c>
      <c r="T6" s="7" t="s">
        <v>33</v>
      </c>
      <c r="U6" s="7" t="s">
        <v>33</v>
      </c>
      <c r="V6" s="7" t="s">
        <v>33</v>
      </c>
      <c r="W6" s="7" t="s">
        <v>38</v>
      </c>
      <c r="X6" s="7" t="s">
        <v>38</v>
      </c>
      <c r="Y6" s="7" t="s">
        <v>38</v>
      </c>
      <c r="Z6" s="7" t="s">
        <v>38</v>
      </c>
      <c r="AA6" s="7" t="s">
        <v>38</v>
      </c>
      <c r="AB6" s="7" t="s">
        <v>38</v>
      </c>
      <c r="AC6" s="7" t="s">
        <v>38</v>
      </c>
      <c r="AD6" s="7" t="s">
        <v>38</v>
      </c>
      <c r="AE6" s="7" t="s">
        <v>33</v>
      </c>
      <c r="AF6" s="7" t="s">
        <v>33</v>
      </c>
      <c r="AG6" s="7" t="s">
        <v>33</v>
      </c>
      <c r="AH6" s="7" t="s">
        <v>33</v>
      </c>
      <c r="AI6" s="4">
        <f t="shared" si="0"/>
        <v>973000</v>
      </c>
      <c r="AJ6" s="4">
        <f t="shared" si="1"/>
        <v>0</v>
      </c>
      <c r="AK6" s="4">
        <f>VLOOKUP(B6,'[1]Tổng hợp'!$B$3:$I$15,8,0)</f>
        <v>973000</v>
      </c>
      <c r="AL6" s="4">
        <f t="shared" si="2"/>
        <v>0</v>
      </c>
    </row>
    <row r="7" spans="1:38">
      <c r="A7" s="2">
        <v>4</v>
      </c>
      <c r="B7" s="1" t="s">
        <v>43</v>
      </c>
      <c r="C7" s="1" t="s">
        <v>44</v>
      </c>
      <c r="D7" s="1" t="s">
        <v>37</v>
      </c>
      <c r="E7" s="7" t="s">
        <v>38</v>
      </c>
      <c r="F7" s="7" t="s">
        <v>38</v>
      </c>
      <c r="G7" s="7" t="s">
        <v>38</v>
      </c>
      <c r="H7" s="7" t="s">
        <v>38</v>
      </c>
      <c r="I7" s="7" t="s">
        <v>38</v>
      </c>
      <c r="J7" s="7" t="s">
        <v>33</v>
      </c>
      <c r="K7" s="7" t="s">
        <v>38</v>
      </c>
      <c r="L7" s="7" t="s">
        <v>33</v>
      </c>
      <c r="M7" s="7" t="s">
        <v>38</v>
      </c>
      <c r="N7" s="7" t="s">
        <v>38</v>
      </c>
      <c r="O7" s="7" t="s">
        <v>38</v>
      </c>
      <c r="P7" s="7" t="s">
        <v>33</v>
      </c>
      <c r="Q7" s="7" t="s">
        <v>33</v>
      </c>
      <c r="R7" s="7" t="s">
        <v>38</v>
      </c>
      <c r="S7" s="7" t="s">
        <v>38</v>
      </c>
      <c r="T7" s="7" t="s">
        <v>33</v>
      </c>
      <c r="U7" s="7" t="s">
        <v>33</v>
      </c>
      <c r="V7" s="7" t="s">
        <v>33</v>
      </c>
      <c r="W7" s="7" t="s">
        <v>38</v>
      </c>
      <c r="X7" s="7" t="s">
        <v>38</v>
      </c>
      <c r="Y7" s="7" t="s">
        <v>38</v>
      </c>
      <c r="Z7" s="7" t="s">
        <v>38</v>
      </c>
      <c r="AA7" s="7" t="s">
        <v>38</v>
      </c>
      <c r="AB7" s="7" t="s">
        <v>38</v>
      </c>
      <c r="AC7" s="7" t="s">
        <v>38</v>
      </c>
      <c r="AD7" s="7" t="s">
        <v>38</v>
      </c>
      <c r="AE7" s="7" t="s">
        <v>33</v>
      </c>
      <c r="AF7" s="7" t="s">
        <v>33</v>
      </c>
      <c r="AG7" s="7" t="s">
        <v>33</v>
      </c>
      <c r="AH7" s="7" t="s">
        <v>33</v>
      </c>
      <c r="AI7" s="4">
        <f t="shared" si="0"/>
        <v>973000</v>
      </c>
      <c r="AJ7" s="4">
        <f t="shared" si="1"/>
        <v>0</v>
      </c>
      <c r="AK7" s="4">
        <f>VLOOKUP(B7,'[1]Tổng hợp'!$B$3:$I$15,8,0)</f>
        <v>973000</v>
      </c>
      <c r="AL7" s="4">
        <f t="shared" si="2"/>
        <v>0</v>
      </c>
    </row>
    <row r="8" spans="1:38">
      <c r="A8" s="2">
        <v>5</v>
      </c>
      <c r="B8" s="1" t="s">
        <v>45</v>
      </c>
      <c r="C8" s="1" t="s">
        <v>46</v>
      </c>
      <c r="D8" s="1" t="s">
        <v>37</v>
      </c>
      <c r="E8" s="7" t="s">
        <v>38</v>
      </c>
      <c r="F8" s="7" t="s">
        <v>38</v>
      </c>
      <c r="G8" s="7" t="s">
        <v>38</v>
      </c>
      <c r="H8" s="7" t="s">
        <v>38</v>
      </c>
      <c r="I8" s="7" t="s">
        <v>38</v>
      </c>
      <c r="J8" s="7" t="s">
        <v>33</v>
      </c>
      <c r="K8" s="7" t="s">
        <v>38</v>
      </c>
      <c r="L8" s="7" t="s">
        <v>33</v>
      </c>
      <c r="M8" s="7" t="s">
        <v>38</v>
      </c>
      <c r="N8" s="7" t="s">
        <v>33</v>
      </c>
      <c r="O8" s="7" t="s">
        <v>38</v>
      </c>
      <c r="P8" s="7" t="s">
        <v>33</v>
      </c>
      <c r="Q8" s="7" t="s">
        <v>33</v>
      </c>
      <c r="R8" s="7" t="s">
        <v>38</v>
      </c>
      <c r="S8" s="7" t="s">
        <v>33</v>
      </c>
      <c r="T8" s="7" t="s">
        <v>33</v>
      </c>
      <c r="U8" s="7" t="s">
        <v>33</v>
      </c>
      <c r="V8" s="7" t="s">
        <v>33</v>
      </c>
      <c r="W8" s="7" t="s">
        <v>38</v>
      </c>
      <c r="X8" s="7" t="s">
        <v>33</v>
      </c>
      <c r="Y8" s="7" t="s">
        <v>38</v>
      </c>
      <c r="Z8" s="7" t="s">
        <v>38</v>
      </c>
      <c r="AA8" s="7" t="s">
        <v>38</v>
      </c>
      <c r="AB8" s="7" t="s">
        <v>38</v>
      </c>
      <c r="AC8" s="7" t="s">
        <v>38</v>
      </c>
      <c r="AD8" s="7" t="s">
        <v>38</v>
      </c>
      <c r="AE8" s="7" t="s">
        <v>33</v>
      </c>
      <c r="AF8" s="7" t="s">
        <v>33</v>
      </c>
      <c r="AG8" s="7" t="s">
        <v>33</v>
      </c>
      <c r="AH8" s="7" t="s">
        <v>33</v>
      </c>
      <c r="AI8" s="4">
        <v>0</v>
      </c>
      <c r="AJ8" s="4">
        <f t="shared" si="1"/>
        <v>0</v>
      </c>
      <c r="AK8" s="4">
        <f>VLOOKUP(B8,'[1]Tổng hợp'!$B$3:$I$15,8,0)</f>
        <v>0</v>
      </c>
      <c r="AL8" s="4">
        <f t="shared" si="2"/>
        <v>0</v>
      </c>
    </row>
    <row r="9" spans="1:38">
      <c r="A9" s="2">
        <v>6</v>
      </c>
      <c r="B9" s="1" t="s">
        <v>47</v>
      </c>
      <c r="C9" s="1" t="s">
        <v>48</v>
      </c>
      <c r="D9" s="1" t="s">
        <v>37</v>
      </c>
      <c r="E9" s="7" t="s">
        <v>38</v>
      </c>
      <c r="F9" s="7" t="s">
        <v>38</v>
      </c>
      <c r="G9" s="7" t="s">
        <v>38</v>
      </c>
      <c r="H9" s="7" t="s">
        <v>38</v>
      </c>
      <c r="I9" s="7" t="s">
        <v>38</v>
      </c>
      <c r="J9" s="7" t="s">
        <v>33</v>
      </c>
      <c r="K9" s="7" t="s">
        <v>38</v>
      </c>
      <c r="L9" s="7" t="s">
        <v>33</v>
      </c>
      <c r="M9" s="7" t="s">
        <v>38</v>
      </c>
      <c r="N9" s="7" t="s">
        <v>33</v>
      </c>
      <c r="O9" s="7" t="s">
        <v>38</v>
      </c>
      <c r="P9" s="7" t="s">
        <v>33</v>
      </c>
      <c r="Q9" s="7" t="s">
        <v>33</v>
      </c>
      <c r="R9" s="7" t="s">
        <v>38</v>
      </c>
      <c r="S9" s="7" t="s">
        <v>33</v>
      </c>
      <c r="T9" s="7" t="s">
        <v>33</v>
      </c>
      <c r="U9" s="7" t="s">
        <v>33</v>
      </c>
      <c r="V9" s="7" t="s">
        <v>33</v>
      </c>
      <c r="W9" s="7" t="s">
        <v>38</v>
      </c>
      <c r="X9" s="7" t="s">
        <v>33</v>
      </c>
      <c r="Y9" s="7" t="s">
        <v>38</v>
      </c>
      <c r="Z9" s="7" t="s">
        <v>38</v>
      </c>
      <c r="AA9" s="7" t="s">
        <v>38</v>
      </c>
      <c r="AB9" s="7" t="s">
        <v>38</v>
      </c>
      <c r="AC9" s="7" t="s">
        <v>38</v>
      </c>
      <c r="AD9" s="7" t="s">
        <v>38</v>
      </c>
      <c r="AE9" s="7" t="s">
        <v>33</v>
      </c>
      <c r="AF9" s="7" t="s">
        <v>33</v>
      </c>
      <c r="AG9" s="7" t="s">
        <v>33</v>
      </c>
      <c r="AH9" s="7" t="s">
        <v>33</v>
      </c>
      <c r="AI9" s="4">
        <f t="shared" si="0"/>
        <v>792000</v>
      </c>
      <c r="AJ9" s="4">
        <f t="shared" si="1"/>
        <v>0</v>
      </c>
      <c r="AK9" s="4">
        <f>VLOOKUP(B9,'[1]Tổng hợp'!$B$3:$I$15,8,0)</f>
        <v>792000</v>
      </c>
      <c r="AL9" s="4">
        <f t="shared" si="2"/>
        <v>0</v>
      </c>
    </row>
    <row r="10" spans="1:38">
      <c r="A10" s="2">
        <v>7</v>
      </c>
      <c r="B10" s="1" t="s">
        <v>49</v>
      </c>
      <c r="C10" s="1" t="s">
        <v>50</v>
      </c>
      <c r="D10" s="1" t="s">
        <v>51</v>
      </c>
      <c r="E10" s="7" t="s">
        <v>38</v>
      </c>
      <c r="F10" s="7" t="s">
        <v>38</v>
      </c>
      <c r="G10" s="7" t="s">
        <v>38</v>
      </c>
      <c r="H10" s="7" t="s">
        <v>38</v>
      </c>
      <c r="I10" s="7" t="s">
        <v>38</v>
      </c>
      <c r="J10" s="7" t="s">
        <v>38</v>
      </c>
      <c r="K10" s="7" t="s">
        <v>38</v>
      </c>
      <c r="L10" s="7" t="s">
        <v>38</v>
      </c>
      <c r="M10" s="7" t="s">
        <v>38</v>
      </c>
      <c r="N10" s="7" t="s">
        <v>38</v>
      </c>
      <c r="O10" s="7" t="s">
        <v>38</v>
      </c>
      <c r="P10" s="7"/>
      <c r="Q10" s="7" t="s">
        <v>33</v>
      </c>
      <c r="R10" s="7" t="s">
        <v>38</v>
      </c>
      <c r="S10" s="7" t="s">
        <v>33</v>
      </c>
      <c r="T10" s="7" t="s">
        <v>38</v>
      </c>
      <c r="U10" s="7" t="s">
        <v>33</v>
      </c>
      <c r="V10" s="7" t="s">
        <v>33</v>
      </c>
      <c r="W10" s="7" t="s">
        <v>33</v>
      </c>
      <c r="X10" s="7" t="s">
        <v>38</v>
      </c>
      <c r="Y10" s="7" t="s">
        <v>38</v>
      </c>
      <c r="Z10" s="7" t="s">
        <v>33</v>
      </c>
      <c r="AA10" s="7" t="s">
        <v>38</v>
      </c>
      <c r="AB10" s="7" t="s">
        <v>38</v>
      </c>
      <c r="AC10" s="7" t="s">
        <v>38</v>
      </c>
      <c r="AD10" s="7" t="s">
        <v>38</v>
      </c>
      <c r="AE10" s="7" t="s">
        <v>33</v>
      </c>
      <c r="AF10" s="7" t="s">
        <v>33</v>
      </c>
      <c r="AG10" s="7" t="s">
        <v>38</v>
      </c>
      <c r="AH10" s="7" t="s">
        <v>33</v>
      </c>
      <c r="AI10" s="4">
        <f>SUMIF(E10:AD10,"X",$E$2:$AD$2)-182000</f>
        <v>850000</v>
      </c>
      <c r="AJ10" s="4">
        <f t="shared" si="1"/>
        <v>165300</v>
      </c>
      <c r="AK10" s="4">
        <f>VLOOKUP(B10,'[1]Tổng hợp'!$B$3:$I$15,8,0)</f>
        <v>850000</v>
      </c>
      <c r="AL10" s="4">
        <f t="shared" si="2"/>
        <v>0</v>
      </c>
    </row>
    <row r="11" spans="1:38">
      <c r="A11" s="2">
        <v>8</v>
      </c>
      <c r="B11" s="1" t="s">
        <v>52</v>
      </c>
      <c r="C11" s="1" t="s">
        <v>48</v>
      </c>
      <c r="D11" s="1" t="s">
        <v>51</v>
      </c>
      <c r="E11" s="7" t="s">
        <v>38</v>
      </c>
      <c r="F11" s="7" t="s">
        <v>38</v>
      </c>
      <c r="G11" s="7" t="s">
        <v>38</v>
      </c>
      <c r="H11" s="7" t="s">
        <v>38</v>
      </c>
      <c r="I11" s="7" t="s">
        <v>38</v>
      </c>
      <c r="J11" s="7" t="s">
        <v>38</v>
      </c>
      <c r="K11" s="7" t="s">
        <v>38</v>
      </c>
      <c r="L11" s="7" t="s">
        <v>38</v>
      </c>
      <c r="M11" s="7" t="s">
        <v>38</v>
      </c>
      <c r="N11" s="7" t="s">
        <v>38</v>
      </c>
      <c r="O11" s="7" t="s">
        <v>38</v>
      </c>
      <c r="P11" s="7" t="s">
        <v>38</v>
      </c>
      <c r="Q11" s="7" t="s">
        <v>33</v>
      </c>
      <c r="R11" s="7" t="s">
        <v>38</v>
      </c>
      <c r="S11" s="7" t="s">
        <v>33</v>
      </c>
      <c r="T11" s="7" t="s">
        <v>33</v>
      </c>
      <c r="U11" s="7" t="s">
        <v>33</v>
      </c>
      <c r="V11" s="7" t="s">
        <v>33</v>
      </c>
      <c r="W11" s="7" t="s">
        <v>33</v>
      </c>
      <c r="X11" s="7" t="s">
        <v>38</v>
      </c>
      <c r="Y11" s="7" t="s">
        <v>38</v>
      </c>
      <c r="Z11" s="7" t="s">
        <v>33</v>
      </c>
      <c r="AA11" s="7" t="s">
        <v>38</v>
      </c>
      <c r="AB11" s="7" t="s">
        <v>38</v>
      </c>
      <c r="AC11" s="7" t="s">
        <v>38</v>
      </c>
      <c r="AD11" s="7" t="s">
        <v>38</v>
      </c>
      <c r="AE11" s="7" t="s">
        <v>38</v>
      </c>
      <c r="AF11" s="7" t="s">
        <v>33</v>
      </c>
      <c r="AG11" s="7" t="s">
        <v>33</v>
      </c>
      <c r="AH11" s="7" t="s">
        <v>38</v>
      </c>
      <c r="AI11" s="4">
        <f t="shared" si="0"/>
        <v>1028000</v>
      </c>
      <c r="AJ11" s="4">
        <f t="shared" si="1"/>
        <v>427500</v>
      </c>
      <c r="AK11" s="4">
        <f>VLOOKUP(B11,'[1]Tổng hợp'!$B$3:$I$15,8,0)</f>
        <v>1028000</v>
      </c>
      <c r="AL11" s="4">
        <f t="shared" si="2"/>
        <v>0</v>
      </c>
    </row>
    <row r="12" spans="1:38">
      <c r="A12" s="2">
        <v>9</v>
      </c>
      <c r="B12" s="1" t="s">
        <v>53</v>
      </c>
      <c r="C12" s="1" t="s">
        <v>54</v>
      </c>
      <c r="D12" s="1" t="s">
        <v>51</v>
      </c>
      <c r="E12" s="7" t="s">
        <v>38</v>
      </c>
      <c r="F12" s="7" t="s">
        <v>38</v>
      </c>
      <c r="G12" s="7" t="s">
        <v>38</v>
      </c>
      <c r="H12" s="7" t="s">
        <v>38</v>
      </c>
      <c r="I12" s="7" t="s">
        <v>38</v>
      </c>
      <c r="J12" s="7" t="s">
        <v>38</v>
      </c>
      <c r="K12" s="7" t="s">
        <v>38</v>
      </c>
      <c r="L12" s="7" t="s">
        <v>38</v>
      </c>
      <c r="M12" s="7" t="s">
        <v>38</v>
      </c>
      <c r="N12" s="7" t="s">
        <v>38</v>
      </c>
      <c r="O12" s="7" t="s">
        <v>38</v>
      </c>
      <c r="P12" s="7" t="s">
        <v>38</v>
      </c>
      <c r="Q12" s="7" t="s">
        <v>33</v>
      </c>
      <c r="R12" s="7" t="s">
        <v>38</v>
      </c>
      <c r="S12" s="7" t="s">
        <v>33</v>
      </c>
      <c r="T12" s="7" t="s">
        <v>33</v>
      </c>
      <c r="U12" s="7" t="s">
        <v>33</v>
      </c>
      <c r="V12" s="7" t="s">
        <v>33</v>
      </c>
      <c r="W12" s="7" t="s">
        <v>33</v>
      </c>
      <c r="X12" s="7" t="s">
        <v>38</v>
      </c>
      <c r="Y12" s="7" t="s">
        <v>38</v>
      </c>
      <c r="Z12" s="7" t="s">
        <v>33</v>
      </c>
      <c r="AA12" s="7" t="s">
        <v>38</v>
      </c>
      <c r="AB12" s="7" t="s">
        <v>38</v>
      </c>
      <c r="AC12" s="7" t="s">
        <v>38</v>
      </c>
      <c r="AD12" s="7" t="s">
        <v>38</v>
      </c>
      <c r="AE12" s="7" t="s">
        <v>33</v>
      </c>
      <c r="AF12" s="7" t="s">
        <v>33</v>
      </c>
      <c r="AG12" s="7" t="s">
        <v>33</v>
      </c>
      <c r="AH12" s="7" t="s">
        <v>33</v>
      </c>
      <c r="AI12" s="4">
        <f t="shared" si="0"/>
        <v>1028000</v>
      </c>
      <c r="AJ12" s="4">
        <f t="shared" si="1"/>
        <v>0</v>
      </c>
      <c r="AK12" s="4">
        <f>VLOOKUP(B12,'[1]Tổng hợp'!$B$3:$I$15,8,0)</f>
        <v>1028000</v>
      </c>
      <c r="AL12" s="4">
        <f t="shared" si="2"/>
        <v>0</v>
      </c>
    </row>
    <row r="13" spans="1:38">
      <c r="A13" s="2">
        <v>10</v>
      </c>
      <c r="B13" s="1" t="s">
        <v>55</v>
      </c>
      <c r="C13" s="1" t="s">
        <v>54</v>
      </c>
      <c r="D13" s="1" t="s">
        <v>51</v>
      </c>
      <c r="E13" s="7" t="s">
        <v>38</v>
      </c>
      <c r="F13" s="7" t="s">
        <v>38</v>
      </c>
      <c r="G13" s="7" t="s">
        <v>38</v>
      </c>
      <c r="H13" s="7" t="s">
        <v>38</v>
      </c>
      <c r="I13" s="7" t="s">
        <v>38</v>
      </c>
      <c r="J13" s="7" t="s">
        <v>38</v>
      </c>
      <c r="K13" s="7" t="s">
        <v>38</v>
      </c>
      <c r="L13" s="7" t="s">
        <v>38</v>
      </c>
      <c r="M13" s="7" t="s">
        <v>38</v>
      </c>
      <c r="N13" s="7" t="s">
        <v>38</v>
      </c>
      <c r="O13" s="7" t="s">
        <v>38</v>
      </c>
      <c r="P13" s="7" t="s">
        <v>38</v>
      </c>
      <c r="Q13" s="7" t="s">
        <v>33</v>
      </c>
      <c r="R13" s="7" t="s">
        <v>38</v>
      </c>
      <c r="S13" s="7" t="s">
        <v>33</v>
      </c>
      <c r="T13" s="7" t="s">
        <v>33</v>
      </c>
      <c r="U13" s="7" t="s">
        <v>33</v>
      </c>
      <c r="V13" s="7" t="s">
        <v>33</v>
      </c>
      <c r="W13" s="7" t="s">
        <v>33</v>
      </c>
      <c r="X13" s="7" t="s">
        <v>38</v>
      </c>
      <c r="Y13" s="7" t="s">
        <v>38</v>
      </c>
      <c r="Z13" s="7" t="s">
        <v>33</v>
      </c>
      <c r="AA13" s="7" t="s">
        <v>38</v>
      </c>
      <c r="AB13" s="7" t="s">
        <v>38</v>
      </c>
      <c r="AC13" s="7" t="s">
        <v>38</v>
      </c>
      <c r="AD13" s="7" t="s">
        <v>38</v>
      </c>
      <c r="AE13" s="7" t="s">
        <v>33</v>
      </c>
      <c r="AF13" s="7" t="s">
        <v>33</v>
      </c>
      <c r="AG13" s="7" t="s">
        <v>33</v>
      </c>
      <c r="AH13" s="7" t="s">
        <v>33</v>
      </c>
      <c r="AI13" s="4">
        <f t="shared" si="0"/>
        <v>1028000</v>
      </c>
      <c r="AJ13" s="4">
        <f t="shared" si="1"/>
        <v>0</v>
      </c>
      <c r="AK13" s="4">
        <f>VLOOKUP(B13,'[1]Tổng hợp'!$B$3:$I$15,8,0)</f>
        <v>1028000</v>
      </c>
      <c r="AL13" s="4">
        <f t="shared" si="2"/>
        <v>0</v>
      </c>
    </row>
    <row r="14" spans="1:38" ht="30">
      <c r="A14" s="2">
        <v>11</v>
      </c>
      <c r="B14" s="1" t="s">
        <v>56</v>
      </c>
      <c r="C14" s="1" t="s">
        <v>57</v>
      </c>
      <c r="D14" s="1" t="s">
        <v>51</v>
      </c>
      <c r="E14" s="7" t="s">
        <v>38</v>
      </c>
      <c r="F14" s="7" t="s">
        <v>38</v>
      </c>
      <c r="G14" s="7" t="s">
        <v>38</v>
      </c>
      <c r="H14" s="7" t="s">
        <v>38</v>
      </c>
      <c r="I14" s="7" t="s">
        <v>38</v>
      </c>
      <c r="J14" s="7" t="s">
        <v>38</v>
      </c>
      <c r="K14" s="7" t="s">
        <v>38</v>
      </c>
      <c r="L14" s="7" t="s">
        <v>38</v>
      </c>
      <c r="M14" s="7" t="s">
        <v>38</v>
      </c>
      <c r="N14" s="7" t="s">
        <v>33</v>
      </c>
      <c r="O14" s="7" t="s">
        <v>38</v>
      </c>
      <c r="P14" s="7" t="s">
        <v>33</v>
      </c>
      <c r="Q14" s="7" t="s">
        <v>33</v>
      </c>
      <c r="R14" s="7" t="s">
        <v>33</v>
      </c>
      <c r="S14" s="7" t="s">
        <v>33</v>
      </c>
      <c r="T14" s="7" t="s">
        <v>33</v>
      </c>
      <c r="U14" s="7" t="s">
        <v>33</v>
      </c>
      <c r="V14" s="7" t="s">
        <v>33</v>
      </c>
      <c r="W14" s="7" t="s">
        <v>33</v>
      </c>
      <c r="X14" s="7" t="s">
        <v>33</v>
      </c>
      <c r="Y14" s="7" t="s">
        <v>38</v>
      </c>
      <c r="Z14" s="7" t="s">
        <v>33</v>
      </c>
      <c r="AA14" s="7" t="s">
        <v>38</v>
      </c>
      <c r="AB14" s="7" t="s">
        <v>38</v>
      </c>
      <c r="AC14" s="7" t="s">
        <v>38</v>
      </c>
      <c r="AD14" s="7" t="s">
        <v>33</v>
      </c>
      <c r="AE14" s="7" t="s">
        <v>33</v>
      </c>
      <c r="AF14" s="7" t="s">
        <v>33</v>
      </c>
      <c r="AG14" s="7" t="s">
        <v>33</v>
      </c>
      <c r="AH14" s="7" t="s">
        <v>33</v>
      </c>
      <c r="AI14" s="4">
        <f t="shared" si="0"/>
        <v>586000</v>
      </c>
      <c r="AJ14" s="4">
        <f t="shared" si="1"/>
        <v>0</v>
      </c>
      <c r="AK14" s="4">
        <f>VLOOKUP(B14,'[1]Tổng hợp'!$B$3:$I$15,8,0)</f>
        <v>586000</v>
      </c>
      <c r="AL14" s="4">
        <f t="shared" si="2"/>
        <v>0</v>
      </c>
    </row>
    <row r="15" spans="1:38">
      <c r="A15" s="2">
        <v>12</v>
      </c>
      <c r="B15" s="1" t="s">
        <v>58</v>
      </c>
      <c r="C15" s="1" t="s">
        <v>59</v>
      </c>
      <c r="D15" s="1" t="s">
        <v>51</v>
      </c>
      <c r="E15" s="7" t="s">
        <v>38</v>
      </c>
      <c r="F15" s="7" t="s">
        <v>38</v>
      </c>
      <c r="G15" s="7" t="s">
        <v>38</v>
      </c>
      <c r="H15" s="7" t="s">
        <v>38</v>
      </c>
      <c r="I15" s="7" t="s">
        <v>38</v>
      </c>
      <c r="J15" s="7" t="s">
        <v>38</v>
      </c>
      <c r="K15" s="7" t="s">
        <v>38</v>
      </c>
      <c r="L15" s="7" t="s">
        <v>38</v>
      </c>
      <c r="M15" s="7" t="s">
        <v>38</v>
      </c>
      <c r="N15" s="7" t="s">
        <v>38</v>
      </c>
      <c r="O15" s="7" t="s">
        <v>38</v>
      </c>
      <c r="P15" s="7" t="s">
        <v>38</v>
      </c>
      <c r="Q15" s="7" t="s">
        <v>33</v>
      </c>
      <c r="R15" s="7" t="s">
        <v>38</v>
      </c>
      <c r="S15" s="7" t="s">
        <v>33</v>
      </c>
      <c r="T15" s="7" t="s">
        <v>33</v>
      </c>
      <c r="U15" s="7" t="s">
        <v>33</v>
      </c>
      <c r="V15" s="7" t="s">
        <v>33</v>
      </c>
      <c r="W15" s="7" t="s">
        <v>33</v>
      </c>
      <c r="X15" s="7" t="s">
        <v>38</v>
      </c>
      <c r="Y15" s="7" t="s">
        <v>38</v>
      </c>
      <c r="Z15" s="7" t="s">
        <v>33</v>
      </c>
      <c r="AA15" s="7" t="s">
        <v>38</v>
      </c>
      <c r="AB15" s="7" t="s">
        <v>38</v>
      </c>
      <c r="AC15" s="7" t="s">
        <v>38</v>
      </c>
      <c r="AD15" s="7" t="s">
        <v>38</v>
      </c>
      <c r="AE15" s="7" t="s">
        <v>33</v>
      </c>
      <c r="AF15" s="7" t="s">
        <v>33</v>
      </c>
      <c r="AG15" s="7" t="s">
        <v>33</v>
      </c>
      <c r="AH15" s="7" t="s">
        <v>33</v>
      </c>
      <c r="AI15" s="4">
        <f t="shared" si="0"/>
        <v>1028000</v>
      </c>
      <c r="AJ15" s="4">
        <f t="shared" si="1"/>
        <v>0</v>
      </c>
      <c r="AK15" s="4">
        <f>VLOOKUP(B15,'[1]Tổng hợp'!$B$3:$I$15,8,0)</f>
        <v>1028000</v>
      </c>
      <c r="AL15" s="4">
        <f t="shared" si="2"/>
        <v>0</v>
      </c>
    </row>
    <row r="16" spans="1:38">
      <c r="A16" s="2">
        <v>13</v>
      </c>
      <c r="B16" s="1" t="s">
        <v>60</v>
      </c>
      <c r="C16" s="1" t="s">
        <v>61</v>
      </c>
      <c r="D16" s="1" t="s">
        <v>51</v>
      </c>
      <c r="E16" s="7" t="s">
        <v>38</v>
      </c>
      <c r="F16" s="7" t="s">
        <v>38</v>
      </c>
      <c r="G16" s="7" t="s">
        <v>38</v>
      </c>
      <c r="H16" s="7" t="s">
        <v>38</v>
      </c>
      <c r="I16" s="7" t="s">
        <v>38</v>
      </c>
      <c r="J16" s="7" t="s">
        <v>38</v>
      </c>
      <c r="K16" s="7" t="s">
        <v>38</v>
      </c>
      <c r="L16" s="7" t="s">
        <v>38</v>
      </c>
      <c r="M16" s="7" t="s">
        <v>38</v>
      </c>
      <c r="N16" s="7" t="s">
        <v>38</v>
      </c>
      <c r="O16" s="7" t="s">
        <v>38</v>
      </c>
      <c r="P16" s="7" t="s">
        <v>38</v>
      </c>
      <c r="Q16" s="7" t="s">
        <v>33</v>
      </c>
      <c r="R16" s="7" t="s">
        <v>38</v>
      </c>
      <c r="S16" s="7" t="s">
        <v>33</v>
      </c>
      <c r="T16" s="7" t="s">
        <v>33</v>
      </c>
      <c r="U16" s="7" t="s">
        <v>33</v>
      </c>
      <c r="V16" s="7" t="s">
        <v>33</v>
      </c>
      <c r="W16" s="7" t="s">
        <v>33</v>
      </c>
      <c r="X16" s="7" t="s">
        <v>38</v>
      </c>
      <c r="Y16" s="7" t="s">
        <v>38</v>
      </c>
      <c r="Z16" s="7" t="s">
        <v>33</v>
      </c>
      <c r="AA16" s="7" t="s">
        <v>38</v>
      </c>
      <c r="AB16" s="7" t="s">
        <v>38</v>
      </c>
      <c r="AC16" s="7" t="s">
        <v>38</v>
      </c>
      <c r="AD16" s="7" t="s">
        <v>38</v>
      </c>
      <c r="AE16" s="7" t="s">
        <v>33</v>
      </c>
      <c r="AF16" s="7" t="s">
        <v>33</v>
      </c>
      <c r="AG16" s="7" t="s">
        <v>33</v>
      </c>
      <c r="AH16" s="7" t="s">
        <v>33</v>
      </c>
      <c r="AI16" s="4">
        <f t="shared" si="0"/>
        <v>1028000</v>
      </c>
      <c r="AJ16" s="4">
        <f t="shared" si="1"/>
        <v>0</v>
      </c>
      <c r="AK16" s="4">
        <f>VLOOKUP(B16,'[1]Tổng hợp'!$B$3:$I$15,8,0)</f>
        <v>1028000</v>
      </c>
      <c r="AL16" s="4">
        <f t="shared" si="2"/>
        <v>0</v>
      </c>
    </row>
    <row r="17" spans="35:38">
      <c r="AI17" s="5">
        <f>SUM(AI4:AI16)</f>
        <v>11896000</v>
      </c>
      <c r="AJ17" s="5">
        <f>SUM(AJ4:AJ16)</f>
        <v>829350</v>
      </c>
      <c r="AK17" s="5"/>
      <c r="AL17" s="5"/>
    </row>
  </sheetData>
  <autoFilter ref="A3:AD3" xr:uid="{00000000-0009-0000-0000-000000000000}"/>
  <mergeCells count="8">
    <mergeCell ref="AK1:AK2"/>
    <mergeCell ref="AL1:AL2"/>
    <mergeCell ref="A1:A3"/>
    <mergeCell ref="B1:B3"/>
    <mergeCell ref="C1:C3"/>
    <mergeCell ref="D1:D3"/>
    <mergeCell ref="AI1:AI2"/>
    <mergeCell ref="AJ1:A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6"/>
  <sheetViews>
    <sheetView workbookViewId="0">
      <selection activeCell="A9" sqref="A9:XFD9"/>
    </sheetView>
  </sheetViews>
  <sheetFormatPr defaultRowHeight="15"/>
  <cols>
    <col min="2" max="2" width="25" customWidth="1"/>
    <col min="3" max="3" width="10" customWidth="1"/>
    <col min="5" max="36" width="15" style="3" customWidth="1"/>
  </cols>
  <sheetData>
    <row r="1" spans="1:36" ht="71.25">
      <c r="A1" s="21" t="s">
        <v>0</v>
      </c>
      <c r="B1" s="21" t="s">
        <v>1</v>
      </c>
      <c r="C1" s="21" t="s">
        <v>2</v>
      </c>
      <c r="D1" s="2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15</v>
      </c>
      <c r="P1" s="10" t="s">
        <v>18</v>
      </c>
      <c r="Q1" s="10" t="s">
        <v>19</v>
      </c>
      <c r="R1" s="11" t="s">
        <v>63</v>
      </c>
      <c r="S1" s="10" t="s">
        <v>20</v>
      </c>
      <c r="T1" s="10" t="s">
        <v>21</v>
      </c>
      <c r="U1" s="10" t="s">
        <v>22</v>
      </c>
      <c r="V1" s="10" t="s">
        <v>24</v>
      </c>
      <c r="W1" s="10" t="s">
        <v>25</v>
      </c>
      <c r="X1" s="10" t="s">
        <v>26</v>
      </c>
      <c r="Y1" s="10" t="s">
        <v>27</v>
      </c>
      <c r="Z1" s="10" t="s">
        <v>28</v>
      </c>
      <c r="AA1" s="10" t="s">
        <v>29</v>
      </c>
      <c r="AB1" s="10" t="s">
        <v>32</v>
      </c>
      <c r="AC1" s="10" t="s">
        <v>30</v>
      </c>
      <c r="AD1" s="10" t="s">
        <v>31</v>
      </c>
      <c r="AE1" s="17" t="s">
        <v>16</v>
      </c>
      <c r="AF1" s="17" t="s">
        <v>14</v>
      </c>
      <c r="AG1" s="17" t="s">
        <v>23</v>
      </c>
      <c r="AH1" s="17" t="s">
        <v>17</v>
      </c>
      <c r="AI1" s="24" t="s">
        <v>64</v>
      </c>
      <c r="AJ1" s="26" t="s">
        <v>65</v>
      </c>
    </row>
    <row r="2" spans="1:36" ht="28.5">
      <c r="A2" s="22"/>
      <c r="B2" s="22"/>
      <c r="C2" s="22"/>
      <c r="D2" s="22"/>
      <c r="E2" s="12">
        <v>20000</v>
      </c>
      <c r="F2" s="12">
        <v>20000</v>
      </c>
      <c r="G2" s="12">
        <v>90000</v>
      </c>
      <c r="H2" s="12">
        <v>20000</v>
      </c>
      <c r="I2" s="12">
        <v>20000</v>
      </c>
      <c r="J2" s="13" t="s">
        <v>62</v>
      </c>
      <c r="K2" s="12">
        <v>20000</v>
      </c>
      <c r="L2" s="13" t="s">
        <v>62</v>
      </c>
      <c r="M2" s="13" t="s">
        <v>62</v>
      </c>
      <c r="N2" s="12">
        <v>97000</v>
      </c>
      <c r="O2" s="12">
        <v>219000</v>
      </c>
      <c r="P2" s="12">
        <v>178000</v>
      </c>
      <c r="Q2" s="12">
        <v>115000</v>
      </c>
      <c r="R2" s="12">
        <v>57000</v>
      </c>
      <c r="S2" s="12">
        <v>45000</v>
      </c>
      <c r="T2" s="12">
        <v>182000</v>
      </c>
      <c r="U2" s="12">
        <v>220000</v>
      </c>
      <c r="V2" s="12">
        <v>164000</v>
      </c>
      <c r="W2" s="12">
        <v>39000</v>
      </c>
      <c r="X2" s="12">
        <v>39000</v>
      </c>
      <c r="Y2" s="12">
        <v>26000</v>
      </c>
      <c r="Z2" s="12">
        <v>39000</v>
      </c>
      <c r="AA2" s="12">
        <v>56000</v>
      </c>
      <c r="AB2" s="12">
        <v>39000</v>
      </c>
      <c r="AC2" s="12">
        <v>56000</v>
      </c>
      <c r="AD2" s="12">
        <v>71000</v>
      </c>
      <c r="AE2" s="18">
        <v>218500</v>
      </c>
      <c r="AF2" s="18">
        <v>236550</v>
      </c>
      <c r="AG2" s="18">
        <v>165300</v>
      </c>
      <c r="AH2" s="18">
        <v>209000</v>
      </c>
      <c r="AI2" s="25"/>
      <c r="AJ2" s="27"/>
    </row>
    <row r="3" spans="1:36">
      <c r="A3" s="2">
        <v>1</v>
      </c>
      <c r="B3" s="1" t="s">
        <v>35</v>
      </c>
      <c r="C3" s="1" t="s">
        <v>36</v>
      </c>
      <c r="D3" s="1" t="s">
        <v>37</v>
      </c>
      <c r="E3" s="7" t="s">
        <v>38</v>
      </c>
      <c r="F3" s="7" t="s">
        <v>38</v>
      </c>
      <c r="G3" s="7" t="s">
        <v>38</v>
      </c>
      <c r="H3" s="7" t="s">
        <v>38</v>
      </c>
      <c r="I3" s="7" t="s">
        <v>38</v>
      </c>
      <c r="J3" s="7" t="s">
        <v>33</v>
      </c>
      <c r="K3" s="7" t="s">
        <v>38</v>
      </c>
      <c r="L3" s="7" t="s">
        <v>33</v>
      </c>
      <c r="M3" s="7" t="s">
        <v>38</v>
      </c>
      <c r="N3" s="7" t="s">
        <v>38</v>
      </c>
      <c r="O3" s="7" t="s">
        <v>38</v>
      </c>
      <c r="P3" s="7" t="s">
        <v>33</v>
      </c>
      <c r="Q3" s="7" t="s">
        <v>38</v>
      </c>
      <c r="R3" s="7" t="s">
        <v>38</v>
      </c>
      <c r="S3" s="7" t="s">
        <v>38</v>
      </c>
      <c r="T3" s="7" t="s">
        <v>38</v>
      </c>
      <c r="U3" s="7" t="s">
        <v>38</v>
      </c>
      <c r="V3" s="7" t="s">
        <v>38</v>
      </c>
      <c r="W3" s="7" t="s">
        <v>38</v>
      </c>
      <c r="X3" s="7" t="s">
        <v>38</v>
      </c>
      <c r="Y3" s="7" t="s">
        <v>38</v>
      </c>
      <c r="Z3" s="7" t="s">
        <v>38</v>
      </c>
      <c r="AA3" s="7" t="s">
        <v>38</v>
      </c>
      <c r="AB3" s="7" t="s">
        <v>38</v>
      </c>
      <c r="AC3" s="7" t="s">
        <v>38</v>
      </c>
      <c r="AD3" s="7" t="s">
        <v>38</v>
      </c>
      <c r="AE3" s="7" t="s">
        <v>33</v>
      </c>
      <c r="AF3" s="7" t="s">
        <v>38</v>
      </c>
      <c r="AG3" s="7" t="s">
        <v>33</v>
      </c>
      <c r="AH3" s="7" t="s">
        <v>33</v>
      </c>
      <c r="AI3" s="14">
        <f>SUMIF(E3:AD3,"X",$E$2:$AD$2)</f>
        <v>1654000</v>
      </c>
      <c r="AJ3" s="14">
        <f>SUMIF(AE3:AH3,"X",$AE$2:$AH$2)</f>
        <v>236550</v>
      </c>
    </row>
    <row r="4" spans="1:36">
      <c r="A4" s="2">
        <v>2</v>
      </c>
      <c r="B4" s="1" t="s">
        <v>39</v>
      </c>
      <c r="C4" s="1" t="s">
        <v>40</v>
      </c>
      <c r="D4" s="1" t="s">
        <v>37</v>
      </c>
      <c r="E4" s="7" t="s">
        <v>38</v>
      </c>
      <c r="F4" s="7" t="s">
        <v>38</v>
      </c>
      <c r="G4" s="7" t="s">
        <v>38</v>
      </c>
      <c r="H4" s="7" t="s">
        <v>38</v>
      </c>
      <c r="I4" s="7" t="s">
        <v>38</v>
      </c>
      <c r="J4" s="7" t="s">
        <v>33</v>
      </c>
      <c r="K4" s="7" t="s">
        <v>38</v>
      </c>
      <c r="L4" s="7" t="s">
        <v>33</v>
      </c>
      <c r="M4" s="7" t="s">
        <v>38</v>
      </c>
      <c r="N4" s="7" t="s">
        <v>38</v>
      </c>
      <c r="O4" s="7" t="s">
        <v>38</v>
      </c>
      <c r="P4" s="7" t="s">
        <v>33</v>
      </c>
      <c r="Q4" s="7" t="s">
        <v>33</v>
      </c>
      <c r="R4" s="7" t="s">
        <v>38</v>
      </c>
      <c r="S4" s="7" t="s">
        <v>33</v>
      </c>
      <c r="T4" s="7" t="s">
        <v>33</v>
      </c>
      <c r="U4" s="7" t="s">
        <v>33</v>
      </c>
      <c r="V4" s="7" t="s">
        <v>33</v>
      </c>
      <c r="W4" s="7" t="s">
        <v>38</v>
      </c>
      <c r="X4" s="7" t="s">
        <v>38</v>
      </c>
      <c r="Y4" s="7" t="s">
        <v>38</v>
      </c>
      <c r="Z4" s="7" t="s">
        <v>38</v>
      </c>
      <c r="AA4" s="7" t="s">
        <v>38</v>
      </c>
      <c r="AB4" s="7" t="s">
        <v>38</v>
      </c>
      <c r="AC4" s="7" t="s">
        <v>38</v>
      </c>
      <c r="AD4" s="7" t="s">
        <v>38</v>
      </c>
      <c r="AE4" s="7" t="s">
        <v>33</v>
      </c>
      <c r="AF4" s="7" t="s">
        <v>33</v>
      </c>
      <c r="AG4" s="7" t="s">
        <v>33</v>
      </c>
      <c r="AH4" s="7" t="s">
        <v>33</v>
      </c>
      <c r="AI4" s="14">
        <f t="shared" ref="AI4:AI15" si="0">SUMIF(E4:AD4,"X",$E$2:$AD$2)</f>
        <v>928000</v>
      </c>
      <c r="AJ4" s="14">
        <f t="shared" ref="AJ4:AJ15" si="1">SUMIF(AE4:AH4,"X",$AE$2:$AH$2)</f>
        <v>0</v>
      </c>
    </row>
    <row r="5" spans="1:36">
      <c r="A5" s="2">
        <v>3</v>
      </c>
      <c r="B5" s="1" t="s">
        <v>41</v>
      </c>
      <c r="C5" s="1" t="s">
        <v>42</v>
      </c>
      <c r="D5" s="1" t="s">
        <v>37</v>
      </c>
      <c r="E5" s="7" t="s">
        <v>38</v>
      </c>
      <c r="F5" s="7" t="s">
        <v>38</v>
      </c>
      <c r="G5" s="7" t="s">
        <v>38</v>
      </c>
      <c r="H5" s="7" t="s">
        <v>38</v>
      </c>
      <c r="I5" s="7" t="s">
        <v>38</v>
      </c>
      <c r="J5" s="7" t="s">
        <v>33</v>
      </c>
      <c r="K5" s="7" t="s">
        <v>38</v>
      </c>
      <c r="L5" s="7" t="s">
        <v>33</v>
      </c>
      <c r="M5" s="7" t="s">
        <v>38</v>
      </c>
      <c r="N5" s="7" t="s">
        <v>38</v>
      </c>
      <c r="O5" s="7" t="s">
        <v>38</v>
      </c>
      <c r="P5" s="7" t="s">
        <v>33</v>
      </c>
      <c r="Q5" s="7" t="s">
        <v>33</v>
      </c>
      <c r="R5" s="7" t="s">
        <v>38</v>
      </c>
      <c r="S5" s="7" t="s">
        <v>38</v>
      </c>
      <c r="T5" s="7" t="s">
        <v>33</v>
      </c>
      <c r="U5" s="7" t="s">
        <v>33</v>
      </c>
      <c r="V5" s="7" t="s">
        <v>33</v>
      </c>
      <c r="W5" s="7" t="s">
        <v>38</v>
      </c>
      <c r="X5" s="7" t="s">
        <v>38</v>
      </c>
      <c r="Y5" s="7" t="s">
        <v>38</v>
      </c>
      <c r="Z5" s="7" t="s">
        <v>38</v>
      </c>
      <c r="AA5" s="7" t="s">
        <v>38</v>
      </c>
      <c r="AB5" s="7" t="s">
        <v>38</v>
      </c>
      <c r="AC5" s="7" t="s">
        <v>38</v>
      </c>
      <c r="AD5" s="7" t="s">
        <v>38</v>
      </c>
      <c r="AE5" s="7" t="s">
        <v>33</v>
      </c>
      <c r="AF5" s="7" t="s">
        <v>33</v>
      </c>
      <c r="AG5" s="7" t="s">
        <v>33</v>
      </c>
      <c r="AH5" s="7" t="s">
        <v>33</v>
      </c>
      <c r="AI5" s="14">
        <f t="shared" si="0"/>
        <v>973000</v>
      </c>
      <c r="AJ5" s="14">
        <f t="shared" si="1"/>
        <v>0</v>
      </c>
    </row>
    <row r="6" spans="1:36">
      <c r="A6" s="2">
        <v>4</v>
      </c>
      <c r="B6" s="1" t="s">
        <v>43</v>
      </c>
      <c r="C6" s="1" t="s">
        <v>44</v>
      </c>
      <c r="D6" s="1" t="s">
        <v>37</v>
      </c>
      <c r="E6" s="7" t="s">
        <v>38</v>
      </c>
      <c r="F6" s="7" t="s">
        <v>38</v>
      </c>
      <c r="G6" s="7" t="s">
        <v>38</v>
      </c>
      <c r="H6" s="7" t="s">
        <v>38</v>
      </c>
      <c r="I6" s="7" t="s">
        <v>38</v>
      </c>
      <c r="J6" s="7" t="s">
        <v>33</v>
      </c>
      <c r="K6" s="7" t="s">
        <v>38</v>
      </c>
      <c r="L6" s="7" t="s">
        <v>33</v>
      </c>
      <c r="M6" s="7" t="s">
        <v>38</v>
      </c>
      <c r="N6" s="7" t="s">
        <v>38</v>
      </c>
      <c r="O6" s="7" t="s">
        <v>38</v>
      </c>
      <c r="P6" s="7" t="s">
        <v>33</v>
      </c>
      <c r="Q6" s="7" t="s">
        <v>33</v>
      </c>
      <c r="R6" s="7" t="s">
        <v>38</v>
      </c>
      <c r="S6" s="7" t="s">
        <v>38</v>
      </c>
      <c r="T6" s="7" t="s">
        <v>33</v>
      </c>
      <c r="U6" s="7" t="s">
        <v>33</v>
      </c>
      <c r="V6" s="7" t="s">
        <v>33</v>
      </c>
      <c r="W6" s="7" t="s">
        <v>38</v>
      </c>
      <c r="X6" s="7" t="s">
        <v>38</v>
      </c>
      <c r="Y6" s="7" t="s">
        <v>38</v>
      </c>
      <c r="Z6" s="7" t="s">
        <v>38</v>
      </c>
      <c r="AA6" s="7" t="s">
        <v>38</v>
      </c>
      <c r="AB6" s="7" t="s">
        <v>38</v>
      </c>
      <c r="AC6" s="7" t="s">
        <v>38</v>
      </c>
      <c r="AD6" s="7" t="s">
        <v>38</v>
      </c>
      <c r="AE6" s="7" t="s">
        <v>33</v>
      </c>
      <c r="AF6" s="7" t="s">
        <v>33</v>
      </c>
      <c r="AG6" s="7" t="s">
        <v>33</v>
      </c>
      <c r="AH6" s="7" t="s">
        <v>33</v>
      </c>
      <c r="AI6" s="14">
        <f t="shared" si="0"/>
        <v>973000</v>
      </c>
      <c r="AJ6" s="14">
        <f t="shared" si="1"/>
        <v>0</v>
      </c>
    </row>
    <row r="7" spans="1:36">
      <c r="A7" s="2">
        <v>5</v>
      </c>
      <c r="B7" s="1" t="s">
        <v>45</v>
      </c>
      <c r="C7" s="1" t="s">
        <v>46</v>
      </c>
      <c r="D7" s="1" t="s">
        <v>37</v>
      </c>
      <c r="E7" s="7" t="s">
        <v>38</v>
      </c>
      <c r="F7" s="7" t="s">
        <v>38</v>
      </c>
      <c r="G7" s="7" t="s">
        <v>38</v>
      </c>
      <c r="H7" s="7" t="s">
        <v>38</v>
      </c>
      <c r="I7" s="7" t="s">
        <v>38</v>
      </c>
      <c r="J7" s="7" t="s">
        <v>33</v>
      </c>
      <c r="K7" s="7" t="s">
        <v>38</v>
      </c>
      <c r="L7" s="7" t="s">
        <v>33</v>
      </c>
      <c r="M7" s="7" t="s">
        <v>38</v>
      </c>
      <c r="N7" s="7" t="s">
        <v>33</v>
      </c>
      <c r="O7" s="7" t="s">
        <v>38</v>
      </c>
      <c r="P7" s="7" t="s">
        <v>33</v>
      </c>
      <c r="Q7" s="7" t="s">
        <v>33</v>
      </c>
      <c r="R7" s="7" t="s">
        <v>38</v>
      </c>
      <c r="S7" s="7" t="s">
        <v>33</v>
      </c>
      <c r="T7" s="7" t="s">
        <v>33</v>
      </c>
      <c r="U7" s="7" t="s">
        <v>33</v>
      </c>
      <c r="V7" s="7" t="s">
        <v>33</v>
      </c>
      <c r="W7" s="7" t="s">
        <v>38</v>
      </c>
      <c r="X7" s="7" t="s">
        <v>33</v>
      </c>
      <c r="Y7" s="7" t="s">
        <v>38</v>
      </c>
      <c r="Z7" s="7" t="s">
        <v>38</v>
      </c>
      <c r="AA7" s="7" t="s">
        <v>38</v>
      </c>
      <c r="AB7" s="7" t="s">
        <v>38</v>
      </c>
      <c r="AC7" s="7" t="s">
        <v>38</v>
      </c>
      <c r="AD7" s="7" t="s">
        <v>38</v>
      </c>
      <c r="AE7" s="7" t="s">
        <v>33</v>
      </c>
      <c r="AF7" s="7" t="s">
        <v>33</v>
      </c>
      <c r="AG7" s="7" t="s">
        <v>33</v>
      </c>
      <c r="AH7" s="7" t="s">
        <v>33</v>
      </c>
      <c r="AI7" s="15" t="s">
        <v>68</v>
      </c>
      <c r="AJ7" s="15" t="s">
        <v>68</v>
      </c>
    </row>
    <row r="8" spans="1:36">
      <c r="A8" s="2">
        <v>6</v>
      </c>
      <c r="B8" s="1" t="s">
        <v>47</v>
      </c>
      <c r="C8" s="1" t="s">
        <v>48</v>
      </c>
      <c r="D8" s="1" t="s">
        <v>37</v>
      </c>
      <c r="E8" s="7" t="s">
        <v>38</v>
      </c>
      <c r="F8" s="7" t="s">
        <v>38</v>
      </c>
      <c r="G8" s="7" t="s">
        <v>38</v>
      </c>
      <c r="H8" s="7" t="s">
        <v>38</v>
      </c>
      <c r="I8" s="7" t="s">
        <v>38</v>
      </c>
      <c r="J8" s="7" t="s">
        <v>33</v>
      </c>
      <c r="K8" s="7" t="s">
        <v>38</v>
      </c>
      <c r="L8" s="7" t="s">
        <v>33</v>
      </c>
      <c r="M8" s="7" t="s">
        <v>38</v>
      </c>
      <c r="N8" s="7" t="s">
        <v>33</v>
      </c>
      <c r="O8" s="7" t="s">
        <v>38</v>
      </c>
      <c r="P8" s="7" t="s">
        <v>33</v>
      </c>
      <c r="Q8" s="7" t="s">
        <v>33</v>
      </c>
      <c r="R8" s="7" t="s">
        <v>38</v>
      </c>
      <c r="S8" s="7" t="s">
        <v>33</v>
      </c>
      <c r="T8" s="7" t="s">
        <v>33</v>
      </c>
      <c r="U8" s="7" t="s">
        <v>33</v>
      </c>
      <c r="V8" s="7" t="s">
        <v>33</v>
      </c>
      <c r="W8" s="7" t="s">
        <v>38</v>
      </c>
      <c r="X8" s="7" t="s">
        <v>33</v>
      </c>
      <c r="Y8" s="7" t="s">
        <v>38</v>
      </c>
      <c r="Z8" s="7" t="s">
        <v>38</v>
      </c>
      <c r="AA8" s="7" t="s">
        <v>38</v>
      </c>
      <c r="AB8" s="7" t="s">
        <v>38</v>
      </c>
      <c r="AC8" s="7" t="s">
        <v>38</v>
      </c>
      <c r="AD8" s="7" t="s">
        <v>38</v>
      </c>
      <c r="AE8" s="7" t="s">
        <v>33</v>
      </c>
      <c r="AF8" s="7" t="s">
        <v>33</v>
      </c>
      <c r="AG8" s="7" t="s">
        <v>33</v>
      </c>
      <c r="AH8" s="7" t="s">
        <v>33</v>
      </c>
      <c r="AI8" s="14">
        <f t="shared" si="0"/>
        <v>792000</v>
      </c>
      <c r="AJ8" s="14">
        <f t="shared" si="1"/>
        <v>0</v>
      </c>
    </row>
    <row r="9" spans="1:36">
      <c r="A9" s="2">
        <v>7</v>
      </c>
      <c r="B9" s="1" t="s">
        <v>49</v>
      </c>
      <c r="C9" s="1" t="s">
        <v>50</v>
      </c>
      <c r="D9" s="1" t="s">
        <v>51</v>
      </c>
      <c r="E9" s="7" t="s">
        <v>38</v>
      </c>
      <c r="F9" s="7" t="s">
        <v>38</v>
      </c>
      <c r="G9" s="7" t="s">
        <v>38</v>
      </c>
      <c r="H9" s="7" t="s">
        <v>38</v>
      </c>
      <c r="I9" s="7" t="s">
        <v>38</v>
      </c>
      <c r="J9" s="7" t="s">
        <v>38</v>
      </c>
      <c r="K9" s="7" t="s">
        <v>38</v>
      </c>
      <c r="L9" s="7" t="s">
        <v>38</v>
      </c>
      <c r="M9" s="7" t="s">
        <v>38</v>
      </c>
      <c r="N9" s="7" t="s">
        <v>38</v>
      </c>
      <c r="O9" s="7" t="s">
        <v>38</v>
      </c>
      <c r="P9" s="7" t="s">
        <v>38</v>
      </c>
      <c r="Q9" s="7" t="s">
        <v>33</v>
      </c>
      <c r="R9" s="7" t="s">
        <v>38</v>
      </c>
      <c r="S9" s="7" t="s">
        <v>33</v>
      </c>
      <c r="T9" s="7" t="s">
        <v>38</v>
      </c>
      <c r="U9" s="7" t="s">
        <v>33</v>
      </c>
      <c r="V9" s="7" t="s">
        <v>33</v>
      </c>
      <c r="W9" s="7" t="s">
        <v>33</v>
      </c>
      <c r="X9" s="7" t="s">
        <v>38</v>
      </c>
      <c r="Y9" s="7" t="s">
        <v>38</v>
      </c>
      <c r="Z9" s="7" t="s">
        <v>33</v>
      </c>
      <c r="AA9" s="7" t="s">
        <v>38</v>
      </c>
      <c r="AB9" s="7" t="s">
        <v>38</v>
      </c>
      <c r="AC9" s="7" t="s">
        <v>38</v>
      </c>
      <c r="AD9" s="7" t="s">
        <v>38</v>
      </c>
      <c r="AE9" s="7" t="s">
        <v>33</v>
      </c>
      <c r="AF9" s="7" t="s">
        <v>33</v>
      </c>
      <c r="AG9" s="7" t="s">
        <v>38</v>
      </c>
      <c r="AH9" s="7" t="s">
        <v>33</v>
      </c>
      <c r="AI9" s="14">
        <f>SUMIF(E9:AD9,"X",$E$2:$AD$2)-182000</f>
        <v>1028000</v>
      </c>
      <c r="AJ9" s="14">
        <f t="shared" si="1"/>
        <v>165300</v>
      </c>
    </row>
    <row r="10" spans="1:36">
      <c r="A10" s="2">
        <v>8</v>
      </c>
      <c r="B10" s="1" t="s">
        <v>52</v>
      </c>
      <c r="C10" s="1" t="s">
        <v>48</v>
      </c>
      <c r="D10" s="1" t="s">
        <v>51</v>
      </c>
      <c r="E10" s="7" t="s">
        <v>38</v>
      </c>
      <c r="F10" s="7" t="s">
        <v>38</v>
      </c>
      <c r="G10" s="7" t="s">
        <v>38</v>
      </c>
      <c r="H10" s="7" t="s">
        <v>38</v>
      </c>
      <c r="I10" s="7" t="s">
        <v>38</v>
      </c>
      <c r="J10" s="7" t="s">
        <v>38</v>
      </c>
      <c r="K10" s="7" t="s">
        <v>38</v>
      </c>
      <c r="L10" s="7" t="s">
        <v>38</v>
      </c>
      <c r="M10" s="7" t="s">
        <v>38</v>
      </c>
      <c r="N10" s="7" t="s">
        <v>38</v>
      </c>
      <c r="O10" s="7" t="s">
        <v>38</v>
      </c>
      <c r="P10" s="7" t="s">
        <v>38</v>
      </c>
      <c r="Q10" s="7" t="s">
        <v>33</v>
      </c>
      <c r="R10" s="7" t="s">
        <v>38</v>
      </c>
      <c r="S10" s="7" t="s">
        <v>33</v>
      </c>
      <c r="T10" s="7" t="s">
        <v>33</v>
      </c>
      <c r="U10" s="7" t="s">
        <v>33</v>
      </c>
      <c r="V10" s="7" t="s">
        <v>33</v>
      </c>
      <c r="W10" s="7" t="s">
        <v>33</v>
      </c>
      <c r="X10" s="7" t="s">
        <v>38</v>
      </c>
      <c r="Y10" s="7" t="s">
        <v>38</v>
      </c>
      <c r="Z10" s="7" t="s">
        <v>33</v>
      </c>
      <c r="AA10" s="7" t="s">
        <v>38</v>
      </c>
      <c r="AB10" s="7" t="s">
        <v>38</v>
      </c>
      <c r="AC10" s="7" t="s">
        <v>38</v>
      </c>
      <c r="AD10" s="7" t="s">
        <v>38</v>
      </c>
      <c r="AE10" s="7" t="s">
        <v>38</v>
      </c>
      <c r="AF10" s="7" t="s">
        <v>33</v>
      </c>
      <c r="AG10" s="7" t="s">
        <v>33</v>
      </c>
      <c r="AH10" s="7" t="s">
        <v>38</v>
      </c>
      <c r="AI10" s="14">
        <f t="shared" si="0"/>
        <v>1028000</v>
      </c>
      <c r="AJ10" s="14">
        <f t="shared" si="1"/>
        <v>427500</v>
      </c>
    </row>
    <row r="11" spans="1:36">
      <c r="A11" s="2">
        <v>9</v>
      </c>
      <c r="B11" s="1" t="s">
        <v>53</v>
      </c>
      <c r="C11" s="1" t="s">
        <v>54</v>
      </c>
      <c r="D11" s="1" t="s">
        <v>51</v>
      </c>
      <c r="E11" s="7" t="s">
        <v>38</v>
      </c>
      <c r="F11" s="7" t="s">
        <v>38</v>
      </c>
      <c r="G11" s="7" t="s">
        <v>38</v>
      </c>
      <c r="H11" s="7" t="s">
        <v>38</v>
      </c>
      <c r="I11" s="7" t="s">
        <v>38</v>
      </c>
      <c r="J11" s="7" t="s">
        <v>38</v>
      </c>
      <c r="K11" s="7" t="s">
        <v>38</v>
      </c>
      <c r="L11" s="7" t="s">
        <v>38</v>
      </c>
      <c r="M11" s="7" t="s">
        <v>38</v>
      </c>
      <c r="N11" s="7" t="s">
        <v>38</v>
      </c>
      <c r="O11" s="7" t="s">
        <v>38</v>
      </c>
      <c r="P11" s="7" t="s">
        <v>38</v>
      </c>
      <c r="Q11" s="7" t="s">
        <v>33</v>
      </c>
      <c r="R11" s="7" t="s">
        <v>38</v>
      </c>
      <c r="S11" s="7" t="s">
        <v>33</v>
      </c>
      <c r="T11" s="7" t="s">
        <v>33</v>
      </c>
      <c r="U11" s="7" t="s">
        <v>33</v>
      </c>
      <c r="V11" s="7" t="s">
        <v>33</v>
      </c>
      <c r="W11" s="7" t="s">
        <v>33</v>
      </c>
      <c r="X11" s="7" t="s">
        <v>38</v>
      </c>
      <c r="Y11" s="7" t="s">
        <v>38</v>
      </c>
      <c r="Z11" s="7" t="s">
        <v>33</v>
      </c>
      <c r="AA11" s="7" t="s">
        <v>38</v>
      </c>
      <c r="AB11" s="7" t="s">
        <v>38</v>
      </c>
      <c r="AC11" s="7" t="s">
        <v>38</v>
      </c>
      <c r="AD11" s="7" t="s">
        <v>38</v>
      </c>
      <c r="AE11" s="7" t="s">
        <v>33</v>
      </c>
      <c r="AF11" s="7" t="s">
        <v>33</v>
      </c>
      <c r="AG11" s="7" t="s">
        <v>33</v>
      </c>
      <c r="AH11" s="7" t="s">
        <v>33</v>
      </c>
      <c r="AI11" s="14">
        <f t="shared" si="0"/>
        <v>1028000</v>
      </c>
      <c r="AJ11" s="14">
        <f t="shared" si="1"/>
        <v>0</v>
      </c>
    </row>
    <row r="12" spans="1:36">
      <c r="A12" s="2">
        <v>10</v>
      </c>
      <c r="B12" s="1" t="s">
        <v>55</v>
      </c>
      <c r="C12" s="1" t="s">
        <v>54</v>
      </c>
      <c r="D12" s="1" t="s">
        <v>51</v>
      </c>
      <c r="E12" s="7" t="s">
        <v>38</v>
      </c>
      <c r="F12" s="7" t="s">
        <v>38</v>
      </c>
      <c r="G12" s="7" t="s">
        <v>38</v>
      </c>
      <c r="H12" s="7" t="s">
        <v>38</v>
      </c>
      <c r="I12" s="7" t="s">
        <v>38</v>
      </c>
      <c r="J12" s="7" t="s">
        <v>38</v>
      </c>
      <c r="K12" s="7" t="s">
        <v>38</v>
      </c>
      <c r="L12" s="7" t="s">
        <v>38</v>
      </c>
      <c r="M12" s="7" t="s">
        <v>38</v>
      </c>
      <c r="N12" s="7" t="s">
        <v>38</v>
      </c>
      <c r="O12" s="7" t="s">
        <v>38</v>
      </c>
      <c r="P12" s="7" t="s">
        <v>38</v>
      </c>
      <c r="Q12" s="7" t="s">
        <v>33</v>
      </c>
      <c r="R12" s="7" t="s">
        <v>38</v>
      </c>
      <c r="S12" s="7" t="s">
        <v>33</v>
      </c>
      <c r="T12" s="7" t="s">
        <v>33</v>
      </c>
      <c r="U12" s="7" t="s">
        <v>33</v>
      </c>
      <c r="V12" s="7" t="s">
        <v>33</v>
      </c>
      <c r="W12" s="7" t="s">
        <v>33</v>
      </c>
      <c r="X12" s="7" t="s">
        <v>38</v>
      </c>
      <c r="Y12" s="7" t="s">
        <v>38</v>
      </c>
      <c r="Z12" s="7" t="s">
        <v>33</v>
      </c>
      <c r="AA12" s="7" t="s">
        <v>38</v>
      </c>
      <c r="AB12" s="7" t="s">
        <v>38</v>
      </c>
      <c r="AC12" s="7" t="s">
        <v>38</v>
      </c>
      <c r="AD12" s="7" t="s">
        <v>38</v>
      </c>
      <c r="AE12" s="7" t="s">
        <v>33</v>
      </c>
      <c r="AF12" s="7" t="s">
        <v>33</v>
      </c>
      <c r="AG12" s="7" t="s">
        <v>33</v>
      </c>
      <c r="AH12" s="7" t="s">
        <v>33</v>
      </c>
      <c r="AI12" s="14">
        <f t="shared" si="0"/>
        <v>1028000</v>
      </c>
      <c r="AJ12" s="14">
        <f t="shared" si="1"/>
        <v>0</v>
      </c>
    </row>
    <row r="13" spans="1:36" ht="30">
      <c r="A13" s="2">
        <v>11</v>
      </c>
      <c r="B13" s="1" t="s">
        <v>56</v>
      </c>
      <c r="C13" s="1" t="s">
        <v>57</v>
      </c>
      <c r="D13" s="1" t="s">
        <v>51</v>
      </c>
      <c r="E13" s="7" t="s">
        <v>38</v>
      </c>
      <c r="F13" s="7" t="s">
        <v>38</v>
      </c>
      <c r="G13" s="7" t="s">
        <v>38</v>
      </c>
      <c r="H13" s="7" t="s">
        <v>38</v>
      </c>
      <c r="I13" s="7" t="s">
        <v>38</v>
      </c>
      <c r="J13" s="7" t="s">
        <v>38</v>
      </c>
      <c r="K13" s="7" t="s">
        <v>38</v>
      </c>
      <c r="L13" s="7" t="s">
        <v>38</v>
      </c>
      <c r="M13" s="7" t="s">
        <v>38</v>
      </c>
      <c r="N13" s="7" t="s">
        <v>33</v>
      </c>
      <c r="O13" s="7" t="s">
        <v>38</v>
      </c>
      <c r="P13" s="7" t="s">
        <v>33</v>
      </c>
      <c r="Q13" s="7" t="s">
        <v>33</v>
      </c>
      <c r="R13" s="7" t="s">
        <v>33</v>
      </c>
      <c r="S13" s="7" t="s">
        <v>33</v>
      </c>
      <c r="T13" s="7" t="s">
        <v>33</v>
      </c>
      <c r="U13" s="7" t="s">
        <v>33</v>
      </c>
      <c r="V13" s="7" t="s">
        <v>33</v>
      </c>
      <c r="W13" s="7" t="s">
        <v>33</v>
      </c>
      <c r="X13" s="7" t="s">
        <v>33</v>
      </c>
      <c r="Y13" s="7" t="s">
        <v>38</v>
      </c>
      <c r="Z13" s="7" t="s">
        <v>33</v>
      </c>
      <c r="AA13" s="7" t="s">
        <v>38</v>
      </c>
      <c r="AB13" s="7" t="s">
        <v>38</v>
      </c>
      <c r="AC13" s="7" t="s">
        <v>38</v>
      </c>
      <c r="AD13" s="7" t="s">
        <v>33</v>
      </c>
      <c r="AE13" s="7" t="s">
        <v>33</v>
      </c>
      <c r="AF13" s="7" t="s">
        <v>33</v>
      </c>
      <c r="AG13" s="7" t="s">
        <v>33</v>
      </c>
      <c r="AH13" s="7" t="s">
        <v>33</v>
      </c>
      <c r="AI13" s="14">
        <f t="shared" si="0"/>
        <v>586000</v>
      </c>
      <c r="AJ13" s="14">
        <f t="shared" si="1"/>
        <v>0</v>
      </c>
    </row>
    <row r="14" spans="1:36">
      <c r="A14" s="2">
        <v>12</v>
      </c>
      <c r="B14" s="1" t="s">
        <v>58</v>
      </c>
      <c r="C14" s="1" t="s">
        <v>59</v>
      </c>
      <c r="D14" s="1" t="s">
        <v>51</v>
      </c>
      <c r="E14" s="7" t="s">
        <v>38</v>
      </c>
      <c r="F14" s="7" t="s">
        <v>38</v>
      </c>
      <c r="G14" s="7" t="s">
        <v>38</v>
      </c>
      <c r="H14" s="7" t="s">
        <v>38</v>
      </c>
      <c r="I14" s="7" t="s">
        <v>38</v>
      </c>
      <c r="J14" s="7" t="s">
        <v>38</v>
      </c>
      <c r="K14" s="7" t="s">
        <v>38</v>
      </c>
      <c r="L14" s="7" t="s">
        <v>38</v>
      </c>
      <c r="M14" s="7" t="s">
        <v>38</v>
      </c>
      <c r="N14" s="7" t="s">
        <v>38</v>
      </c>
      <c r="O14" s="7" t="s">
        <v>38</v>
      </c>
      <c r="P14" s="7" t="s">
        <v>38</v>
      </c>
      <c r="Q14" s="7" t="s">
        <v>33</v>
      </c>
      <c r="R14" s="7" t="s">
        <v>38</v>
      </c>
      <c r="S14" s="7" t="s">
        <v>33</v>
      </c>
      <c r="T14" s="7" t="s">
        <v>33</v>
      </c>
      <c r="U14" s="7" t="s">
        <v>33</v>
      </c>
      <c r="V14" s="7" t="s">
        <v>33</v>
      </c>
      <c r="W14" s="7" t="s">
        <v>33</v>
      </c>
      <c r="X14" s="7" t="s">
        <v>38</v>
      </c>
      <c r="Y14" s="7" t="s">
        <v>38</v>
      </c>
      <c r="Z14" s="7" t="s">
        <v>33</v>
      </c>
      <c r="AA14" s="7" t="s">
        <v>38</v>
      </c>
      <c r="AB14" s="7" t="s">
        <v>38</v>
      </c>
      <c r="AC14" s="7" t="s">
        <v>38</v>
      </c>
      <c r="AD14" s="7" t="s">
        <v>38</v>
      </c>
      <c r="AE14" s="7" t="s">
        <v>33</v>
      </c>
      <c r="AF14" s="7" t="s">
        <v>33</v>
      </c>
      <c r="AG14" s="7" t="s">
        <v>33</v>
      </c>
      <c r="AH14" s="7" t="s">
        <v>33</v>
      </c>
      <c r="AI14" s="14">
        <f t="shared" si="0"/>
        <v>1028000</v>
      </c>
      <c r="AJ14" s="14">
        <f t="shared" si="1"/>
        <v>0</v>
      </c>
    </row>
    <row r="15" spans="1:36">
      <c r="A15" s="2">
        <v>13</v>
      </c>
      <c r="B15" s="1" t="s">
        <v>60</v>
      </c>
      <c r="C15" s="1" t="s">
        <v>61</v>
      </c>
      <c r="D15" s="1" t="s">
        <v>51</v>
      </c>
      <c r="E15" s="7" t="s">
        <v>38</v>
      </c>
      <c r="F15" s="7" t="s">
        <v>38</v>
      </c>
      <c r="G15" s="7" t="s">
        <v>38</v>
      </c>
      <c r="H15" s="7" t="s">
        <v>38</v>
      </c>
      <c r="I15" s="7" t="s">
        <v>38</v>
      </c>
      <c r="J15" s="7" t="s">
        <v>38</v>
      </c>
      <c r="K15" s="7" t="s">
        <v>38</v>
      </c>
      <c r="L15" s="7" t="s">
        <v>38</v>
      </c>
      <c r="M15" s="7" t="s">
        <v>38</v>
      </c>
      <c r="N15" s="7" t="s">
        <v>38</v>
      </c>
      <c r="O15" s="7" t="s">
        <v>38</v>
      </c>
      <c r="P15" s="7" t="s">
        <v>38</v>
      </c>
      <c r="Q15" s="7" t="s">
        <v>33</v>
      </c>
      <c r="R15" s="7" t="s">
        <v>38</v>
      </c>
      <c r="S15" s="7" t="s">
        <v>33</v>
      </c>
      <c r="T15" s="7" t="s">
        <v>33</v>
      </c>
      <c r="U15" s="7" t="s">
        <v>33</v>
      </c>
      <c r="V15" s="7" t="s">
        <v>33</v>
      </c>
      <c r="W15" s="7" t="s">
        <v>33</v>
      </c>
      <c r="X15" s="7" t="s">
        <v>38</v>
      </c>
      <c r="Y15" s="7" t="s">
        <v>38</v>
      </c>
      <c r="Z15" s="7" t="s">
        <v>33</v>
      </c>
      <c r="AA15" s="7" t="s">
        <v>38</v>
      </c>
      <c r="AB15" s="7" t="s">
        <v>38</v>
      </c>
      <c r="AC15" s="7" t="s">
        <v>38</v>
      </c>
      <c r="AD15" s="7" t="s">
        <v>38</v>
      </c>
      <c r="AE15" s="7" t="s">
        <v>33</v>
      </c>
      <c r="AF15" s="7" t="s">
        <v>33</v>
      </c>
      <c r="AG15" s="7" t="s">
        <v>33</v>
      </c>
      <c r="AH15" s="7" t="s">
        <v>33</v>
      </c>
      <c r="AI15" s="14">
        <f t="shared" si="0"/>
        <v>1028000</v>
      </c>
      <c r="AJ15" s="14">
        <f t="shared" si="1"/>
        <v>0</v>
      </c>
    </row>
    <row r="16" spans="1:36" ht="15.75">
      <c r="AI16" s="16">
        <f>SUM(AI3:AI15)</f>
        <v>12074000</v>
      </c>
      <c r="AJ16" s="16">
        <f>SUM(AJ3:AJ15)</f>
        <v>829350</v>
      </c>
    </row>
  </sheetData>
  <mergeCells count="6">
    <mergeCell ref="AI1:AI2"/>
    <mergeCell ref="AJ1:AJ2"/>
    <mergeCell ref="A1:A2"/>
    <mergeCell ref="B1:B2"/>
    <mergeCell ref="C1:C2"/>
    <mergeCell ref="D1:D2"/>
  </mergeCells>
  <pageMargins left="0.7" right="0.7" top="0.75" bottom="0.75" header="0.3" footer="0.3"/>
  <ignoredErrors>
    <ignoredError sqref="AI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ĐỐI SOÁT KẾ TOÁN</vt:lpstr>
      <vt:lpstr>Tổng hợp</vt:lpstr>
      <vt:lpstr>'ĐỐI SOÁT KẾ TOÁN'!_FilterDatabase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Giang Nguyễn</cp:lastModifiedBy>
  <dcterms:modified xsi:type="dcterms:W3CDTF">2025-05-26T08:57:37Z</dcterms:modified>
</cp:coreProperties>
</file>