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ATA-TN\Hoàng\2025\T5\TỔNG CÔNG TY CỔ PHẦN BẢO HIỂM AAA - CHI NHÁNH QUẢNG NAM (83-2025)\"/>
    </mc:Choice>
  </mc:AlternateContent>
  <xr:revisionPtr revIDLastSave="0" documentId="13_ncr:1_{5C11B620-313E-4BBA-8A72-D746DD6B61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QCN" sheetId="5" r:id="rId1"/>
    <sheet name="Sheet1" sheetId="1" r:id="rId2"/>
    <sheet name="Sheet3" sheetId="3" r:id="rId3"/>
  </sheets>
  <definedNames>
    <definedName name="_xlnm._FilterDatabase" localSheetId="0" hidden="1">KQCN!$A$2:$I$17</definedName>
    <definedName name="_xlnm._FilterDatabase" localSheetId="1" hidden="1">Sheet1!$A$9:$W$25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1" l="1"/>
  <c r="E23" i="1"/>
  <c r="F23" i="1"/>
  <c r="N23" i="1"/>
  <c r="O23" i="1"/>
  <c r="P23" i="1"/>
  <c r="C23" i="1"/>
  <c r="Q23" i="1" l="1"/>
  <c r="U23" i="1"/>
  <c r="R23" i="1"/>
  <c r="J23" i="1"/>
  <c r="L23" i="1"/>
  <c r="V23" i="1"/>
  <c r="W23" i="1"/>
  <c r="T23" i="1"/>
  <c r="S23" i="1"/>
  <c r="M23" i="1"/>
  <c r="K23" i="1"/>
  <c r="I23" i="1"/>
  <c r="H23" i="1"/>
  <c r="G23" i="1"/>
</calcChain>
</file>

<file path=xl/sharedStrings.xml><?xml version="1.0" encoding="utf-8"?>
<sst xmlns="http://schemas.openxmlformats.org/spreadsheetml/2006/main" count="380" uniqueCount="195">
  <si>
    <t>CÔNG TY CỔ PHẦN BỆNH VIỆN THIỆN NHÂN ĐÀ NẴNG</t>
  </si>
  <si>
    <t>TRUNG TÂM CHẨN ĐOÁN Y KHOA KỸ THUẬT CAO THIỆN NHÂN</t>
  </si>
  <si>
    <t>Tel: 02363. 82 84 89</t>
  </si>
  <si>
    <t xml:space="preserve">TỔNG HỢP KẾT QUẢ KHÁM SỨC KHỎE </t>
  </si>
  <si>
    <t>Stt</t>
  </si>
  <si>
    <t>Họ và tên</t>
  </si>
  <si>
    <t>Năm Sinh</t>
  </si>
  <si>
    <t xml:space="preserve">Giới tính </t>
  </si>
  <si>
    <t>Kết Quả CLS và LS</t>
  </si>
  <si>
    <t xml:space="preserve">Đề nghị - Tư vấn </t>
  </si>
  <si>
    <t xml:space="preserve">Xếp loại SK </t>
  </si>
  <si>
    <t>Bác sỹ</t>
  </si>
  <si>
    <t xml:space="preserve">                            TRƯỞNG ĐƠN VỊ QUẢN LÝ SỨC KHỎE DOANH NGHIỆP</t>
  </si>
  <si>
    <t>Khám  tổng quát</t>
  </si>
  <si>
    <t>Nội</t>
  </si>
  <si>
    <t>TMH</t>
  </si>
  <si>
    <t>Mắt</t>
  </si>
  <si>
    <t>Các chỉ số cơ bản</t>
  </si>
  <si>
    <t>Chiều Cao</t>
  </si>
  <si>
    <t>Cân nặng</t>
  </si>
  <si>
    <t>BMI</t>
  </si>
  <si>
    <t xml:space="preserve">Mạch </t>
  </si>
  <si>
    <t>Huyết áp</t>
  </si>
  <si>
    <t>RHM</t>
  </si>
  <si>
    <t xml:space="preserve">Mã NV </t>
  </si>
  <si>
    <t>Địa chỉ: 276 - 278 - 280 Đống Đa, TP. Đà Nẵng.</t>
  </si>
  <si>
    <t>Da liễu</t>
  </si>
  <si>
    <t>Phụ sản</t>
  </si>
  <si>
    <t>Ngoại</t>
  </si>
  <si>
    <t xml:space="preserve">  Năm 2025</t>
  </si>
  <si>
    <t>Đà Nẵng, ngày    tháng    năm 2025</t>
  </si>
  <si>
    <t>TỔNG CÔNG TY CỔ PHẦN BẢO HIỂM AAA- CHI NHÁNH QUẢNG NAM</t>
  </si>
  <si>
    <t>NV01</t>
  </si>
  <si>
    <t>NV02</t>
  </si>
  <si>
    <t>NV03</t>
  </si>
  <si>
    <t>NV04</t>
  </si>
  <si>
    <t>NV05</t>
  </si>
  <si>
    <t>NV06</t>
  </si>
  <si>
    <t>NV07</t>
  </si>
  <si>
    <t>NV08</t>
  </si>
  <si>
    <t>NV09</t>
  </si>
  <si>
    <t>NV10</t>
  </si>
  <si>
    <t>NV11</t>
  </si>
  <si>
    <t>NV12</t>
  </si>
  <si>
    <t>NV13</t>
  </si>
  <si>
    <t>LÊ XUÂN VINH</t>
  </si>
  <si>
    <t>TRẦN VĂN THƯ</t>
  </si>
  <si>
    <t>VÕ HỮU THIÊN</t>
  </si>
  <si>
    <t>VÕ THÂN ÁI</t>
  </si>
  <si>
    <t>THÁI BÁ HÙNG</t>
  </si>
  <si>
    <t>NGUYỄN VĂN HỒNG</t>
  </si>
  <si>
    <t>VÕ THỊ VY</t>
  </si>
  <si>
    <t>LÊ THỊ LAN</t>
  </si>
  <si>
    <t>BÙI THỊ THIÊN ÂN</t>
  </si>
  <si>
    <t>TÔ THỊ THU THỦY</t>
  </si>
  <si>
    <t>NGUYỄN THỊ HỒNG HẠNH</t>
  </si>
  <si>
    <t>NGUYỄN NGỌC KIM NGÂN</t>
  </si>
  <si>
    <t>NAM</t>
  </si>
  <si>
    <t>NỮ</t>
  </si>
  <si>
    <t>GIÁM ĐỐC</t>
  </si>
  <si>
    <t>PHÓ GIÁM ĐỐC</t>
  </si>
  <si>
    <t>TRƯỞNG PHÒNG</t>
  </si>
  <si>
    <t>NHÂN VIÊN</t>
  </si>
  <si>
    <t>KẾ TOÁN</t>
  </si>
  <si>
    <t xml:space="preserve">Chức vụ </t>
  </si>
  <si>
    <t xml:space="preserve">Mã khách hàng </t>
  </si>
  <si>
    <t xml:space="preserve">Bình thường </t>
  </si>
  <si>
    <t>LÊ THỊ HỒNG LINH</t>
  </si>
  <si>
    <t>Không khám</t>
  </si>
  <si>
    <t>165</t>
  </si>
  <si>
    <t>60</t>
  </si>
  <si>
    <t>22</t>
  </si>
  <si>
    <t>54</t>
  </si>
  <si>
    <t>120/68</t>
  </si>
  <si>
    <t xml:space="preserve">Bình thường
</t>
  </si>
  <si>
    <t xml:space="preserve">Cao răng 2 hàm. </t>
  </si>
  <si>
    <t xml:space="preserve">XN máu: Tăng Gamma GT. Tăng mỡ máu 
Siêu âm bụng: TD U mạch máu gan phải 8 mm ( Đã tồn tại từ lâu) 
Siêu âm động mạch cảnh, đốt sống: Xơ vữa mềm đoạn gốc động mạch cảnh trong hai bên, chưa gây rối loạn huyết động 
TS: Đã PT vẹo vách ngăn năm 2008. Hiện tại: Viêm mũi dị ứng. 
Cao răng 2 hàm. 
Các kết quả xét nghiệm khác trong giới hạn bình thường </t>
  </si>
  <si>
    <t xml:space="preserve">_ Đã tư vấn 
_ Hạn chế bia rượu 
_ Hạn chế dầu mỡ 
_ Siêu âm bụng kiểm tra định kỳ 
_ Xơ vữa mềm đoạn gốc động mạch cảnh trong hai bên, chưa gây rối loạn huyết động : Tiếp tục điều trị theo toa ( BV Đà Nẵng) 
_ Tránh tiếp xúc với khói bụi, lạnh 
_ Lấy cao răng định kỳ mỗi 6 tháng 
_ Kiểm tra sức khỏe định kỳ </t>
  </si>
  <si>
    <t>II</t>
  </si>
  <si>
    <t xml:space="preserve">BS Sỹ </t>
  </si>
  <si>
    <t>0250522019411</t>
  </si>
  <si>
    <t>170</t>
  </si>
  <si>
    <t>80</t>
  </si>
  <si>
    <t>27.6</t>
  </si>
  <si>
    <t>100</t>
  </si>
  <si>
    <t>150/90</t>
  </si>
  <si>
    <t>TD Tăng huyết áp 
Không đau bụng, đại tiện 2-4 lần/ ngày chủ yếu vào buổi sáng. TD Hội chứng ruột kích thích 
Dư cân
Thoát vị đĩa đệm cột sống thắt lưng L5-S1/Thoái hóa cột sống cổ</t>
  </si>
  <si>
    <t xml:space="preserve">Mắt phải sẹo giác mạc 
</t>
  </si>
  <si>
    <t xml:space="preserve">Viêm mũi dị ứng. </t>
  </si>
  <si>
    <t xml:space="preserve">Mất R17, 36. Sức nhai &gt; 81% </t>
  </si>
  <si>
    <t xml:space="preserve">Mổ RTV nội soi. Mổ đứt dây chằng chéo gối phải, hiện ổn </t>
  </si>
  <si>
    <t xml:space="preserve">XN máu: Tăng nhẹ bạch cầu. Tăng Acid Uric. Tăng Gamma GT. Tăng mỡ máu 
Siêu âm bụng: Gan nhiễm mỡ độ I 
TD Tăng huyết áp 
Không đau bụng, đại tiện 2-4 lần/ ngày chủ yếu vào buổi sáng. TD Hội chứng ruột kích thích 
Dư cân
Thoát vị đĩa đệm cột sống thắt lưng L5-S1/Thoái hóa cột sống cổ ( Đã chụp MRI cổ- thắt lưng) 
Mổ RTV nội soi. Mổ đứt dây chằng chéo gối phải, hiện ổn 
Mắt phải sẹo giác mạc 
Viêm mũi dị ứng. 
Mất R17, 36. Sức nhai &gt; 81% 
Các kết quả xét nghiệm khác trong giới hạn bình thường </t>
  </si>
  <si>
    <t>III</t>
  </si>
  <si>
    <t xml:space="preserve">BS Long </t>
  </si>
  <si>
    <t>0250522019428</t>
  </si>
  <si>
    <t xml:space="preserve">BS. Vy </t>
  </si>
  <si>
    <t>149</t>
  </si>
  <si>
    <t>56</t>
  </si>
  <si>
    <t>25.2</t>
  </si>
  <si>
    <t>59</t>
  </si>
  <si>
    <t>130/70</t>
  </si>
  <si>
    <t xml:space="preserve">Dư cân </t>
  </si>
  <si>
    <t xml:space="preserve">2M : tật khúc xạ </t>
  </si>
  <si>
    <t>TD Ù tai hai bên CRNN (Màng nhĩ 2 bên không thủng)
Đề nghị chụp MRI sọ xoang</t>
  </si>
  <si>
    <t xml:space="preserve">XN máu: Hồng cầu nhỏ. Tăng Acid Uric. Tăng LDL-Cholesterol. Tăng nhẹ Gamma GT. 
Nước tiểu: Hồng cầu (+++) 
XQ phổi: Trường phổi 2 bên sáng. Cung động mạch chủ nổi 
Siêu âm bụng: Gan nhiễm mỡ độ II . Nang thận phải 57x54 mm 
Dư cân 
Hai mắt tật khúc xạ 
TD Ù tai hai bên CRNN (Màng nhĩ 2 bên không thủng)
Cao răng 2 hàm. 
Các kết quả xét nghiệm khác trong giới hạn bình thường </t>
  </si>
  <si>
    <t xml:space="preserve">_ Đã tư vấn 
_ Hạn chế ăn da lòng, hải sản, hạn chế bia rượu. 
_ Tập thể dục 
_ Uống đủ nước. Sau 1 tuần kiểm tra lại nước tiểu 
_ Hạn chế dầu mỡ. Siêu âm bụng kiểm tra định kỳ 
_ Mang kính phù hợp 
_ Đề nghị chụp MRI sọ xoang 
_ Lấy cao răng định kỳ mỗi 6 tháng 
_ Kiểm tra sức khỏe định kỳ </t>
  </si>
  <si>
    <t>IV</t>
  </si>
  <si>
    <t>0250522019442</t>
  </si>
  <si>
    <t>164</t>
  </si>
  <si>
    <t>63</t>
  </si>
  <si>
    <t>23.4</t>
  </si>
  <si>
    <t>81</t>
  </si>
  <si>
    <t>100/60</t>
  </si>
  <si>
    <t>Mòn cổ nhiều răng</t>
  </si>
  <si>
    <t xml:space="preserve">XN máu: Tăng Acid Uric 
Nước tiểu: Protein (+) 
Mòn cổ nhiều răng
Các kết quả xét nghiệm khác trong giới hạn bình thường </t>
  </si>
  <si>
    <t xml:space="preserve">_ Đã tư vấn 
_ Giảm bia rượu, hải sản, nội tạng động vật 
_ Xét nghiệm lại nước tiểu sau 3 tháng 
_ Điều trị nha khoa 
_ Kiểm tra sức khỏe định kỳ </t>
  </si>
  <si>
    <t>I</t>
  </si>
  <si>
    <t xml:space="preserve">BS Như </t>
  </si>
  <si>
    <t>0250522019466</t>
  </si>
  <si>
    <t>154</t>
  </si>
  <si>
    <t>50</t>
  </si>
  <si>
    <t>21</t>
  </si>
  <si>
    <t>75</t>
  </si>
  <si>
    <t>95/54</t>
  </si>
  <si>
    <t xml:space="preserve">Para : 0000. Tháng 10/2024 phẫu thuật bóc nhân xơ tử cung </t>
  </si>
  <si>
    <t xml:space="preserve">XN máu: Tăng nhẹ LDL-Cholesterol. 
Nước tiểu: Bạch cầu (+), Protein (+), Hồng cầu (++++) 
Siêu âm bụng: Nhân xơ tử cung 79x68 mm 
Tháng 10/2024 phẫu thuật bóc nhân xơ tử cung 
Hai mắt cận thị 
Các kết quả xét nghiệm khác trong giới hạn bình thường </t>
  </si>
  <si>
    <t xml:space="preserve">_ Không khám đủ các chuyên khoa 
_ Tập thể dục 
_ Kiểm tra lại nước tiểu xa ngày hành kinh 
_ Mang kính phù hợp 
_ Kiểm tra sức khỏe định kỳ </t>
  </si>
  <si>
    <t xml:space="preserve">Không XL </t>
  </si>
  <si>
    <t xml:space="preserve">BS Ban </t>
  </si>
  <si>
    <t>0220715022993</t>
  </si>
  <si>
    <t>155</t>
  </si>
  <si>
    <t>57</t>
  </si>
  <si>
    <t>23.7</t>
  </si>
  <si>
    <t>76</t>
  </si>
  <si>
    <t>90/60</t>
  </si>
  <si>
    <t xml:space="preserve">Para : 2002. Sinh mổ 2 lần </t>
  </si>
  <si>
    <t xml:space="preserve">XN máu: Tăng Eosinophils. Tăng LDL-Cholesterol 
Nước tiểu: Bạch cầu (+++), Protein (+) 
Sinh mổ 2 lần 
Các kết quả xét nghiệm khác trong giới hạn bình thường </t>
  </si>
  <si>
    <t xml:space="preserve">_ Đã tư vấn 
_ Xổ giun định kỳ 
_ Giảm dầu mỡ. Tập thể dục. Xét nghiệm lại mỡ máu sau 3 tháng. Siêu âm động mạch cảnh 
_ Uống nhiều nước 
_ Kiểm tra sức khỏe định kỳ </t>
  </si>
  <si>
    <t xml:space="preserve">BS Vy </t>
  </si>
  <si>
    <t>0250522019480</t>
  </si>
  <si>
    <t>152</t>
  </si>
  <si>
    <t>51</t>
  </si>
  <si>
    <t>64</t>
  </si>
  <si>
    <t>102/61</t>
  </si>
  <si>
    <t xml:space="preserve">Mắt trái tật khúc xạ 
</t>
  </si>
  <si>
    <t xml:space="preserve">Mất R44. Sức nhai &gt; 90% </t>
  </si>
  <si>
    <t xml:space="preserve">Para : 2012. Sinh thường 1 lần. Sinh mổ 1 lần </t>
  </si>
  <si>
    <t>0250522019497</t>
  </si>
  <si>
    <t>21.5</t>
  </si>
  <si>
    <t>84</t>
  </si>
  <si>
    <t>117/68</t>
  </si>
  <si>
    <t xml:space="preserve">2M : Tật khúc xạ </t>
  </si>
  <si>
    <t xml:space="preserve">Mất R36. Sâu R47. Sức nhai &gt; 90% </t>
  </si>
  <si>
    <t xml:space="preserve">XN máu: Tăng men gan. 
Siêu âm bụng: Nang cơ năng buồng trứng trái 24x20 mm ( Siêu âm SPK: Buồng trứng trái có nang 28x24 mm TD nang noãn) 
Sinh mổ 2 lần 
Hai mắt tật khúc xạ 
Mất R36. Sâu R47. Sức nhai &gt; 90% 
Các kết quả xét nghiệm khác trong giới hạn bình thường </t>
  </si>
  <si>
    <t xml:space="preserve">_ Đã tư vấn 
_ Hạn chế dùng thực phẩm chức năng, 1 tháng sau xét nghiệm lại chức năng gan + Gamma GT 
_ Mang kính phù hợp 
_ Điều trị nha khoa 
_ Kiểm tra sức khỏe định kỳ </t>
  </si>
  <si>
    <t>0250522019503</t>
  </si>
  <si>
    <t>161</t>
  </si>
  <si>
    <t>72</t>
  </si>
  <si>
    <t>27.7</t>
  </si>
  <si>
    <t>86</t>
  </si>
  <si>
    <t>120/80</t>
  </si>
  <si>
    <t>2M tật khúc xạ</t>
  </si>
  <si>
    <t xml:space="preserve">Phục hình implant hàm trên. Mất R46. Sức nhai &gt; 90% </t>
  </si>
  <si>
    <t xml:space="preserve">Para: 2022, sinh mổ 2 lần </t>
  </si>
  <si>
    <t xml:space="preserve">XN máu: Tăng LDL-Cholesterol 
Siêu âm bụng: Gan nhiễm mỡ độ II. Nang thận trái 12 mm 
Dư cân 
Sinh mổ 2 lần 
2M tật khúc xạ
Viêm mũi dị ứng. 
Phục hình implant hàm trên. Mất R46. Sức nhai &gt; 90% 
Các kết quả xét nghiệm khác trong giới hạn bình thường </t>
  </si>
  <si>
    <t xml:space="preserve">_ Đã tư vấn 
_ Giảm chất béo. Tập thể dục. Xét nghiệm lại mỡ máu sau 6 tháng 
_ Siêu âm bụng kiểm tra 6 tháng/ lần 
_ Mang kính phù hợp 
_ Tránh tiếp xúc với khói bụi, lạnh 
_ Điều trị nha khoa 
_ Kiểm tra sức khỏe định kỳ </t>
  </si>
  <si>
    <t>0250522019510</t>
  </si>
  <si>
    <t>158</t>
  </si>
  <si>
    <t>21.6</t>
  </si>
  <si>
    <t>117/62</t>
  </si>
  <si>
    <t xml:space="preserve">Mất R36, 46. Sức nhai &gt; 81% </t>
  </si>
  <si>
    <t xml:space="preserve">Para : 1001. Sinh thường 1 lần </t>
  </si>
  <si>
    <t xml:space="preserve">Nước tiểu: Bạch cầu (++), Hồng cầu (++) ( chưa sạch kinh) 
Mất R36, 46. Sức nhai &gt; 81% 
Các kết quả xét nghiệm khác trong giới hạn bình thường </t>
  </si>
  <si>
    <t xml:space="preserve">_ Đã tư vấn 
_ Điều trị nha khoa 
_ Kiểm tra sức khỏe định kỳ </t>
  </si>
  <si>
    <t>0250522019527</t>
  </si>
  <si>
    <t>17.6</t>
  </si>
  <si>
    <t>110/70</t>
  </si>
  <si>
    <t xml:space="preserve">Hai mắt tật khúc xạ </t>
  </si>
  <si>
    <t xml:space="preserve">PARA 1001 sinh thường. Kinh nguyệt đều </t>
  </si>
  <si>
    <t xml:space="preserve">XN máu: Giảm MCV, MCH, MCHC ( Hồng cầu nhỏ) 
Hai mắt tật khúc xạ 
Các kết quả xét nghiệm khác trong giới hạn bình thường </t>
  </si>
  <si>
    <t xml:space="preserve">_ Không khám đủ các chuyên khoa 
_ Xét nghiệm Trisure Carrier 
_ Mang kính phù hợp 
_ Kiểm tra sức khỏe định kỳ </t>
  </si>
  <si>
    <t>0250522019534</t>
  </si>
  <si>
    <t>23.1</t>
  </si>
  <si>
    <t>111/84</t>
  </si>
  <si>
    <t xml:space="preserve">Mất răng  R35. Sức nhai  &gt; 90 % </t>
  </si>
  <si>
    <t xml:space="preserve">Mất răng  R35. Sức nhai  &gt; 90 % 
Các kết quả xét nghiệm trong giới hạn bình thường </t>
  </si>
  <si>
    <t xml:space="preserve">_ Không khám đủ các chuyên khoa 
_ Điều trị nha khoa 
_ Kiểm tra sức khỏe định kỳ </t>
  </si>
  <si>
    <t>0250522019435</t>
  </si>
  <si>
    <t xml:space="preserve">
Bình thường
</t>
  </si>
  <si>
    <t xml:space="preserve">Tiền sử Đã phẫu thuật vách ngăn 2008. Hiện tại: Viêm mũi dị ứng. </t>
  </si>
  <si>
    <t xml:space="preserve">
Hai mắt cận thị 
</t>
  </si>
  <si>
    <t xml:space="preserve">Không khám </t>
  </si>
  <si>
    <t xml:space="preserve">_ Đã tư vấn 
_ Ăn nhạt. Thường xuyên theo dõi huyết áp. Khám chuyên khoa tim mạch 
_ Nội soi dạ dày đại tràng 
_ Tránh mang vác nặng 
_ Kiểm tra lại công thức máu sau 1 tuần 
_ Kiêng ăn nội tạng, dầu mỡ động vật
_ Hạn chế bia rượu 
_ Tập thể dục 
_ Tránh tiếp xúc với khói bụi, lạnh 
_ Điều trị nha khoa 
_ Kiểm tra sức khỏe định kỳ </t>
  </si>
  <si>
    <t xml:space="preserve">XN máu: Giảm RBC, HCT 
Siêu âm SPK: TD Nhân xơ tử cung 20 mm 
Sinh mổ 1 lần 
Mắt trái tật khúc xạ 
Mất R44. Sức nhai &gt; 90% 
Các kết quả xét nghiệm khác trong giới hạn bình thường </t>
  </si>
  <si>
    <t xml:space="preserve">_ Đã tư vấn 
_ Siêu âm SPK định kỳ 
_ Mang kính phù hợp 
_ Điều trị nha khoa 
_ Kiểm tra sức khỏe định kỳ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</si>
</sst>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VNI-Times"/>
    </font>
    <font>
      <b/>
      <sz val="15"/>
      <color rgb="FF000000"/>
      <name val="Times New Roman"/>
      <family val="1"/>
    </font>
    <font>
      <sz val="15"/>
      <color theme="1"/>
      <name val="Times New Roman"/>
      <family val="1"/>
    </font>
    <font>
      <b/>
      <sz val="15"/>
      <color rgb="FFFF0000"/>
      <name val="Times New Roman"/>
      <family val="1"/>
    </font>
    <font>
      <b/>
      <sz val="15"/>
      <color rgb="FF00B050"/>
      <name val="Times New Roman"/>
      <family val="1"/>
    </font>
    <font>
      <b/>
      <sz val="15"/>
      <name val="Times New Roman"/>
      <family val="1"/>
    </font>
    <font>
      <b/>
      <i/>
      <sz val="15"/>
      <color rgb="FF00B0F0"/>
      <name val="Times New Roman"/>
      <family val="1"/>
    </font>
    <font>
      <sz val="15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b/>
      <sz val="14"/>
      <color theme="1"/>
      <name val="Times New Roman"/>
      <family val="1"/>
    </font>
    <font>
      <b/>
      <i/>
      <sz val="14"/>
      <name val="Times New Roman"/>
      <family val="1"/>
    </font>
    <font>
      <sz val="10"/>
      <name val=".VnTime"/>
      <family val="2"/>
    </font>
    <font>
      <sz val="13"/>
      <color theme="1"/>
      <name val="Times New Roman"/>
      <family val="1"/>
    </font>
    <font>
      <b/>
      <sz val="1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2" fillId="0" borderId="0">
      <alignment vertical="top"/>
    </xf>
    <xf numFmtId="164" fontId="13" fillId="0" borderId="0"/>
    <xf numFmtId="43" fontId="1" fillId="0" borderId="0" applyFont="0" applyFill="0" applyBorder="0" applyAlignment="0" applyProtection="0"/>
    <xf numFmtId="0" fontId="16" fillId="0" borderId="0"/>
    <xf numFmtId="0" fontId="16" fillId="0" borderId="0"/>
    <xf numFmtId="0" fontId="13" fillId="0" borderId="0"/>
    <xf numFmtId="0" fontId="13" fillId="0" borderId="0"/>
  </cellStyleXfs>
  <cellXfs count="50">
    <xf numFmtId="0" fontId="0" fillId="0" borderId="0" xfId="0"/>
    <xf numFmtId="0" fontId="3" fillId="2" borderId="0" xfId="1" applyFont="1" applyFill="1" applyAlignment="1"/>
    <xf numFmtId="0" fontId="4" fillId="0" borderId="0" xfId="0" applyFont="1"/>
    <xf numFmtId="0" fontId="5" fillId="2" borderId="0" xfId="1" applyFont="1" applyFill="1" applyAlignment="1">
      <alignment vertical="center"/>
    </xf>
    <xf numFmtId="0" fontId="7" fillId="0" borderId="0" xfId="0" applyFont="1"/>
    <xf numFmtId="0" fontId="9" fillId="0" borderId="0" xfId="0" applyFont="1"/>
    <xf numFmtId="0" fontId="10" fillId="3" borderId="1" xfId="0" applyFont="1" applyFill="1" applyBorder="1" applyAlignment="1">
      <alignment horizontal="center" vertical="center" wrapText="1"/>
    </xf>
    <xf numFmtId="0" fontId="11" fillId="0" borderId="0" xfId="0" applyFont="1"/>
    <xf numFmtId="0" fontId="12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1" fillId="2" borderId="0" xfId="0" applyFont="1" applyFill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vertical="top"/>
    </xf>
    <xf numFmtId="0" fontId="10" fillId="0" borderId="0" xfId="0" applyFont="1"/>
    <xf numFmtId="0" fontId="14" fillId="0" borderId="0" xfId="0" applyFont="1" applyAlignment="1">
      <alignment horizontal="center"/>
    </xf>
    <xf numFmtId="0" fontId="17" fillId="0" borderId="0" xfId="0" applyFont="1"/>
    <xf numFmtId="0" fontId="12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/>
    </xf>
    <xf numFmtId="0" fontId="12" fillId="2" borderId="1" xfId="0" quotePrefix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10" fillId="3" borderId="5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top"/>
    </xf>
    <xf numFmtId="0" fontId="10" fillId="3" borderId="8" xfId="0" applyFont="1" applyFill="1" applyBorder="1" applyAlignment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8" fillId="4" borderId="5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8">
    <cellStyle name="Comma 2" xfId="3" xr:uid="{00000000-0005-0000-0000-000000000000}"/>
    <cellStyle name="Normal" xfId="0" builtinId="0"/>
    <cellStyle name="Normal 2" xfId="5" xr:uid="{00000000-0005-0000-0000-000002000000}"/>
    <cellStyle name="Normal 2 33" xfId="2" xr:uid="{00000000-0005-0000-0000-000003000000}"/>
    <cellStyle name="Normal 3" xfId="1" xr:uid="{00000000-0005-0000-0000-000004000000}"/>
    <cellStyle name="Normal 3 3" xfId="6" xr:uid="{00000000-0005-0000-0000-000005000000}"/>
    <cellStyle name="Normal 4" xfId="4" xr:uid="{00000000-0005-0000-0000-000006000000}"/>
    <cellStyle name="Normal 8" xfId="7" xr:uid="{00000000-0005-0000-0000-000007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7</xdr:col>
      <xdr:colOff>4294</xdr:colOff>
      <xdr:row>1</xdr:row>
      <xdr:rowOff>430742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887014-96A9-475F-86B4-9A1026C1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8875" y="73959"/>
          <a:ext cx="4294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1647825</xdr:colOff>
      <xdr:row>0</xdr:row>
      <xdr:rowOff>0</xdr:rowOff>
    </xdr:from>
    <xdr:to>
      <xdr:col>9</xdr:col>
      <xdr:colOff>4384</xdr:colOff>
      <xdr:row>1</xdr:row>
      <xdr:rowOff>134408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4DAA16-5309-449B-97A1-CBA408B24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9300" y="0"/>
          <a:ext cx="4384" cy="619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0</xdr:row>
      <xdr:rowOff>73959</xdr:rowOff>
    </xdr:from>
    <xdr:to>
      <xdr:col>19</xdr:col>
      <xdr:colOff>4294</xdr:colOff>
      <xdr:row>4</xdr:row>
      <xdr:rowOff>7284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3FDB8B-A127-4530-A834-300DB484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29400" y="73959"/>
          <a:ext cx="4294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20</xdr:col>
      <xdr:colOff>1647825</xdr:colOff>
      <xdr:row>0</xdr:row>
      <xdr:rowOff>0</xdr:rowOff>
    </xdr:from>
    <xdr:to>
      <xdr:col>21</xdr:col>
      <xdr:colOff>4384</xdr:colOff>
      <xdr:row>2</xdr:row>
      <xdr:rowOff>123825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0"/>
          <a:ext cx="4082" cy="619125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0</xdr:row>
      <xdr:rowOff>0</xdr:rowOff>
    </xdr:from>
    <xdr:to>
      <xdr:col>2</xdr:col>
      <xdr:colOff>657225</xdr:colOff>
      <xdr:row>5</xdr:row>
      <xdr:rowOff>142874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1" y="0"/>
          <a:ext cx="1381124" cy="13811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7DEC-2CE8-4D0B-A7C2-547BEE91CAB4}">
  <dimension ref="A1:I27"/>
  <sheetViews>
    <sheetView tabSelected="1" zoomScale="90" zoomScaleNormal="90" workbookViewId="0">
      <selection activeCell="G3" sqref="G3"/>
    </sheetView>
  </sheetViews>
  <sheetFormatPr defaultRowHeight="18.75" x14ac:dyDescent="0.25"/>
  <cols>
    <col min="1" max="1" width="5.28515625" style="12" customWidth="1"/>
    <col min="2" max="2" width="9.28515625" style="12" customWidth="1"/>
    <col min="3" max="3" width="31.42578125" style="13" customWidth="1"/>
    <col min="4" max="5" width="7.28515625" style="12" customWidth="1"/>
    <col min="6" max="6" width="11.42578125" style="22" customWidth="1"/>
    <col min="7" max="7" width="47.42578125" style="14" customWidth="1"/>
    <col min="8" max="8" width="43" style="15" customWidth="1"/>
    <col min="9" max="9" width="8" style="12" customWidth="1"/>
  </cols>
  <sheetData>
    <row r="1" spans="1:9" ht="37.5" customHeight="1" x14ac:dyDescent="0.25">
      <c r="A1" s="31" t="s">
        <v>4</v>
      </c>
      <c r="B1" s="31" t="s">
        <v>24</v>
      </c>
      <c r="C1" s="31" t="s">
        <v>5</v>
      </c>
      <c r="D1" s="31" t="s">
        <v>6</v>
      </c>
      <c r="E1" s="31" t="s">
        <v>7</v>
      </c>
      <c r="F1" s="31" t="s">
        <v>64</v>
      </c>
      <c r="G1" s="31" t="s">
        <v>8</v>
      </c>
      <c r="H1" s="31" t="s">
        <v>9</v>
      </c>
      <c r="I1" s="31" t="s">
        <v>10</v>
      </c>
    </row>
    <row r="2" spans="1:9" ht="45" customHeight="1" x14ac:dyDescent="0.25">
      <c r="A2" s="32"/>
      <c r="B2" s="32"/>
      <c r="C2" s="32"/>
      <c r="D2" s="32"/>
      <c r="E2" s="32"/>
      <c r="F2" s="32"/>
      <c r="G2" s="32"/>
      <c r="H2" s="32"/>
      <c r="I2" s="32"/>
    </row>
    <row r="3" spans="1:9" s="18" customFormat="1" ht="181.5" x14ac:dyDescent="0.25">
      <c r="A3" s="9">
        <v>1</v>
      </c>
      <c r="B3" s="10" t="s">
        <v>32</v>
      </c>
      <c r="C3" s="26" t="s">
        <v>45</v>
      </c>
      <c r="D3" s="10">
        <v>1983</v>
      </c>
      <c r="E3" s="10" t="s">
        <v>57</v>
      </c>
      <c r="F3" s="9" t="s">
        <v>59</v>
      </c>
      <c r="G3" s="8" t="s">
        <v>76</v>
      </c>
      <c r="H3" s="8" t="s">
        <v>77</v>
      </c>
      <c r="I3" s="9" t="s">
        <v>78</v>
      </c>
    </row>
    <row r="4" spans="1:9" s="18" customFormat="1" ht="220.5" customHeight="1" x14ac:dyDescent="0.25">
      <c r="A4" s="9">
        <v>2</v>
      </c>
      <c r="B4" s="10" t="s">
        <v>33</v>
      </c>
      <c r="C4" s="26" t="s">
        <v>46</v>
      </c>
      <c r="D4" s="10">
        <v>1979</v>
      </c>
      <c r="E4" s="10" t="s">
        <v>57</v>
      </c>
      <c r="F4" s="9" t="s">
        <v>60</v>
      </c>
      <c r="G4" s="8" t="s">
        <v>91</v>
      </c>
      <c r="H4" s="8" t="s">
        <v>192</v>
      </c>
      <c r="I4" s="9" t="s">
        <v>92</v>
      </c>
    </row>
    <row r="5" spans="1:9" s="18" customFormat="1" ht="90" customHeight="1" x14ac:dyDescent="0.25">
      <c r="A5" s="9">
        <v>3</v>
      </c>
      <c r="B5" s="10" t="s">
        <v>34</v>
      </c>
      <c r="C5" s="26" t="s">
        <v>47</v>
      </c>
      <c r="D5" s="10">
        <v>1987</v>
      </c>
      <c r="E5" s="10" t="s">
        <v>57</v>
      </c>
      <c r="F5" s="9" t="s">
        <v>61</v>
      </c>
      <c r="G5" s="8" t="s">
        <v>185</v>
      </c>
      <c r="H5" s="8" t="s">
        <v>186</v>
      </c>
      <c r="I5" s="9" t="s">
        <v>127</v>
      </c>
    </row>
    <row r="6" spans="1:9" s="18" customFormat="1" ht="231" x14ac:dyDescent="0.25">
      <c r="A6" s="9">
        <v>4</v>
      </c>
      <c r="B6" s="10" t="s">
        <v>35</v>
      </c>
      <c r="C6" s="26" t="s">
        <v>48</v>
      </c>
      <c r="D6" s="10">
        <v>1968</v>
      </c>
      <c r="E6" s="10" t="s">
        <v>57</v>
      </c>
      <c r="F6" s="9" t="s">
        <v>62</v>
      </c>
      <c r="G6" s="8" t="s">
        <v>104</v>
      </c>
      <c r="H6" s="8" t="s">
        <v>105</v>
      </c>
      <c r="I6" s="9" t="s">
        <v>106</v>
      </c>
    </row>
    <row r="7" spans="1:9" s="18" customFormat="1" ht="33" x14ac:dyDescent="0.25">
      <c r="A7" s="9">
        <v>5</v>
      </c>
      <c r="B7" s="10" t="s">
        <v>36</v>
      </c>
      <c r="C7" s="27" t="s">
        <v>49</v>
      </c>
      <c r="D7" s="10">
        <v>1976</v>
      </c>
      <c r="E7" s="10" t="s">
        <v>57</v>
      </c>
      <c r="F7" s="9" t="s">
        <v>62</v>
      </c>
      <c r="G7" s="8" t="s">
        <v>68</v>
      </c>
      <c r="H7" s="8" t="s">
        <v>68</v>
      </c>
      <c r="I7" s="9"/>
    </row>
    <row r="8" spans="1:9" s="18" customFormat="1" ht="99" x14ac:dyDescent="0.25">
      <c r="A8" s="9">
        <v>6</v>
      </c>
      <c r="B8" s="10" t="s">
        <v>37</v>
      </c>
      <c r="C8" s="27" t="s">
        <v>50</v>
      </c>
      <c r="D8" s="10">
        <v>1985</v>
      </c>
      <c r="E8" s="10" t="s">
        <v>57</v>
      </c>
      <c r="F8" s="9" t="s">
        <v>62</v>
      </c>
      <c r="G8" s="8" t="s">
        <v>114</v>
      </c>
      <c r="H8" s="8" t="s">
        <v>115</v>
      </c>
      <c r="I8" s="9" t="s">
        <v>116</v>
      </c>
    </row>
    <row r="9" spans="1:9" s="18" customFormat="1" ht="132" x14ac:dyDescent="0.25">
      <c r="A9" s="9">
        <v>7</v>
      </c>
      <c r="B9" s="10" t="s">
        <v>38</v>
      </c>
      <c r="C9" s="26" t="s">
        <v>51</v>
      </c>
      <c r="D9" s="10">
        <v>1986</v>
      </c>
      <c r="E9" s="10" t="s">
        <v>58</v>
      </c>
      <c r="F9" s="9" t="s">
        <v>63</v>
      </c>
      <c r="G9" s="8" t="s">
        <v>125</v>
      </c>
      <c r="H9" s="8" t="s">
        <v>126</v>
      </c>
      <c r="I9" s="9" t="s">
        <v>127</v>
      </c>
    </row>
    <row r="10" spans="1:9" s="18" customFormat="1" ht="115.5" x14ac:dyDescent="0.25">
      <c r="A10" s="9">
        <v>8</v>
      </c>
      <c r="B10" s="10" t="s">
        <v>39</v>
      </c>
      <c r="C10" s="26" t="s">
        <v>52</v>
      </c>
      <c r="D10" s="10">
        <v>1985</v>
      </c>
      <c r="E10" s="10" t="s">
        <v>58</v>
      </c>
      <c r="F10" s="9" t="s">
        <v>61</v>
      </c>
      <c r="G10" s="8" t="s">
        <v>136</v>
      </c>
      <c r="H10" s="8" t="s">
        <v>137</v>
      </c>
      <c r="I10" s="9" t="s">
        <v>92</v>
      </c>
    </row>
    <row r="11" spans="1:9" s="30" customFormat="1" ht="115.5" x14ac:dyDescent="0.25">
      <c r="A11" s="9">
        <v>9</v>
      </c>
      <c r="B11" s="10" t="s">
        <v>40</v>
      </c>
      <c r="C11" s="26" t="s">
        <v>53</v>
      </c>
      <c r="D11" s="10">
        <v>1980</v>
      </c>
      <c r="E11" s="10" t="s">
        <v>58</v>
      </c>
      <c r="F11" s="9" t="s">
        <v>62</v>
      </c>
      <c r="G11" s="8" t="s">
        <v>193</v>
      </c>
      <c r="H11" s="8" t="s">
        <v>194</v>
      </c>
      <c r="I11" s="9" t="s">
        <v>78</v>
      </c>
    </row>
    <row r="12" spans="1:9" s="18" customFormat="1" ht="148.5" x14ac:dyDescent="0.25">
      <c r="A12" s="9">
        <v>10</v>
      </c>
      <c r="B12" s="10" t="s">
        <v>41</v>
      </c>
      <c r="C12" s="26" t="s">
        <v>54</v>
      </c>
      <c r="D12" s="10">
        <v>1980</v>
      </c>
      <c r="E12" s="10" t="s">
        <v>58</v>
      </c>
      <c r="F12" s="9" t="s">
        <v>62</v>
      </c>
      <c r="G12" s="8" t="s">
        <v>153</v>
      </c>
      <c r="H12" s="8" t="s">
        <v>154</v>
      </c>
      <c r="I12" s="9" t="s">
        <v>92</v>
      </c>
    </row>
    <row r="13" spans="1:9" s="18" customFormat="1" ht="181.5" x14ac:dyDescent="0.25">
      <c r="A13" s="9">
        <v>11</v>
      </c>
      <c r="B13" s="10" t="s">
        <v>42</v>
      </c>
      <c r="C13" s="26" t="s">
        <v>55</v>
      </c>
      <c r="D13" s="10">
        <v>1984</v>
      </c>
      <c r="E13" s="10" t="s">
        <v>58</v>
      </c>
      <c r="F13" s="9" t="s">
        <v>62</v>
      </c>
      <c r="G13" s="8" t="s">
        <v>164</v>
      </c>
      <c r="H13" s="8" t="s">
        <v>165</v>
      </c>
      <c r="I13" s="9" t="s">
        <v>92</v>
      </c>
    </row>
    <row r="14" spans="1:9" s="18" customFormat="1" ht="82.5" x14ac:dyDescent="0.25">
      <c r="A14" s="9">
        <v>12</v>
      </c>
      <c r="B14" s="10" t="s">
        <v>43</v>
      </c>
      <c r="C14" s="27" t="s">
        <v>67</v>
      </c>
      <c r="D14" s="10">
        <v>1989</v>
      </c>
      <c r="E14" s="10" t="s">
        <v>58</v>
      </c>
      <c r="F14" s="9" t="s">
        <v>62</v>
      </c>
      <c r="G14" s="8" t="s">
        <v>172</v>
      </c>
      <c r="H14" s="8" t="s">
        <v>173</v>
      </c>
      <c r="I14" s="9" t="s">
        <v>92</v>
      </c>
    </row>
    <row r="15" spans="1:9" s="18" customFormat="1" ht="119.25" customHeight="1" x14ac:dyDescent="0.25">
      <c r="A15" s="9">
        <v>13</v>
      </c>
      <c r="B15" s="10" t="s">
        <v>44</v>
      </c>
      <c r="C15" s="26" t="s">
        <v>56</v>
      </c>
      <c r="D15" s="10">
        <v>1994</v>
      </c>
      <c r="E15" s="10" t="s">
        <v>58</v>
      </c>
      <c r="F15" s="9" t="s">
        <v>62</v>
      </c>
      <c r="G15" s="8" t="s">
        <v>179</v>
      </c>
      <c r="H15" s="8" t="s">
        <v>180</v>
      </c>
      <c r="I15" s="9" t="s">
        <v>127</v>
      </c>
    </row>
    <row r="16" spans="1:9" ht="19.5" x14ac:dyDescent="0.35">
      <c r="G16" s="33"/>
      <c r="H16" s="33"/>
      <c r="I16" s="33"/>
    </row>
    <row r="17" spans="1:9" x14ac:dyDescent="0.3">
      <c r="A17" s="34"/>
      <c r="B17" s="34"/>
      <c r="C17" s="34"/>
      <c r="D17" s="34"/>
      <c r="E17" s="34"/>
      <c r="F17" s="23"/>
      <c r="G17" s="35"/>
      <c r="H17" s="35"/>
      <c r="I17" s="35"/>
    </row>
    <row r="22" spans="1:9" ht="15" x14ac:dyDescent="0.25">
      <c r="A22"/>
      <c r="B22" s="20"/>
      <c r="C22" s="20"/>
      <c r="D22" s="21"/>
      <c r="E22" s="21"/>
      <c r="F22" s="24"/>
      <c r="G22"/>
      <c r="H22"/>
      <c r="I22"/>
    </row>
    <row r="23" spans="1:9" ht="15" x14ac:dyDescent="0.25">
      <c r="A23"/>
      <c r="B23" s="20"/>
      <c r="C23" s="20"/>
      <c r="D23" s="21"/>
      <c r="E23" s="21"/>
      <c r="F23" s="24"/>
      <c r="G23"/>
      <c r="H23"/>
      <c r="I23"/>
    </row>
    <row r="24" spans="1:9" ht="15" x14ac:dyDescent="0.25">
      <c r="A24"/>
      <c r="B24" s="20"/>
      <c r="C24" s="20"/>
      <c r="D24" s="21"/>
      <c r="E24" s="21"/>
      <c r="F24" s="24"/>
      <c r="G24"/>
      <c r="H24"/>
      <c r="I24"/>
    </row>
    <row r="27" spans="1:9" ht="15" x14ac:dyDescent="0.25">
      <c r="A27"/>
      <c r="B27" s="20"/>
      <c r="C27" s="20"/>
      <c r="D27" s="21"/>
      <c r="E27" s="21"/>
      <c r="F27" s="24"/>
      <c r="G27"/>
      <c r="H27"/>
      <c r="I27"/>
    </row>
  </sheetData>
  <mergeCells count="12">
    <mergeCell ref="H1:H2"/>
    <mergeCell ref="I1:I2"/>
    <mergeCell ref="G16:I16"/>
    <mergeCell ref="A17:E17"/>
    <mergeCell ref="G17:I17"/>
    <mergeCell ref="A1:A2"/>
    <mergeCell ref="B1:B2"/>
    <mergeCell ref="C1:C2"/>
    <mergeCell ref="D1:D2"/>
    <mergeCell ref="E1:E2"/>
    <mergeCell ref="F1:F2"/>
    <mergeCell ref="G1:G2"/>
  </mergeCells>
  <conditionalFormatting sqref="C3:C15">
    <cfRule type="duplicateValues" dxfId="1" priority="1" stopIfTrue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5"/>
  <sheetViews>
    <sheetView topLeftCell="A8" zoomScale="90" zoomScaleNormal="90" workbookViewId="0">
      <pane xSplit="3" ySplit="2" topLeftCell="R10" activePane="bottomRight" state="frozen"/>
      <selection activeCell="A8" sqref="A8"/>
      <selection pane="topRight" activeCell="D8" sqref="D8"/>
      <selection pane="bottomLeft" activeCell="A10" sqref="A10"/>
      <selection pane="bottomRight" activeCell="U8" sqref="U1:U1048576"/>
    </sheetView>
  </sheetViews>
  <sheetFormatPr defaultRowHeight="18.75" x14ac:dyDescent="0.3"/>
  <cols>
    <col min="1" max="1" width="5.28515625" style="12" customWidth="1"/>
    <col min="2" max="2" width="9.28515625" style="12" customWidth="1"/>
    <col min="3" max="3" width="31.42578125" style="13" customWidth="1"/>
    <col min="4" max="5" width="7.28515625" style="12" customWidth="1"/>
    <col min="6" max="6" width="11.42578125" style="22" customWidth="1"/>
    <col min="7" max="11" width="8.85546875" style="12" customWidth="1"/>
    <col min="12" max="12" width="19.85546875" style="12" customWidth="1"/>
    <col min="13" max="18" width="13.5703125" style="12" customWidth="1"/>
    <col min="19" max="19" width="47.42578125" style="14" customWidth="1"/>
    <col min="20" max="20" width="43" style="15" customWidth="1"/>
    <col min="21" max="21" width="8" style="12" customWidth="1"/>
    <col min="22" max="22" width="10.7109375" style="7" customWidth="1"/>
    <col min="23" max="23" width="18.7109375" style="7" customWidth="1"/>
  </cols>
  <sheetData>
    <row r="1" spans="1:23" ht="19.5" x14ac:dyDescent="0.3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1"/>
      <c r="W1" s="2"/>
    </row>
    <row r="2" spans="1:23" ht="19.5" x14ac:dyDescent="0.3">
      <c r="A2" s="45" t="s">
        <v>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1"/>
      <c r="W2" s="2"/>
    </row>
    <row r="3" spans="1:23" ht="19.5" x14ac:dyDescent="0.3">
      <c r="A3" s="45" t="s">
        <v>25</v>
      </c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1"/>
      <c r="W3" s="2"/>
    </row>
    <row r="4" spans="1:23" ht="19.5" x14ac:dyDescent="0.3">
      <c r="A4" s="45" t="s">
        <v>2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1"/>
      <c r="W4" s="2"/>
    </row>
    <row r="5" spans="1:23" ht="19.5" x14ac:dyDescent="0.3">
      <c r="A5" s="46" t="s">
        <v>3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3"/>
      <c r="W5" s="2"/>
    </row>
    <row r="6" spans="1:23" ht="19.5" x14ac:dyDescent="0.3">
      <c r="A6" s="44" t="s">
        <v>31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"/>
      <c r="W6" s="4"/>
    </row>
    <row r="7" spans="1:23" ht="20.25" x14ac:dyDescent="0.3">
      <c r="A7" s="49" t="s">
        <v>29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5"/>
      <c r="W7" s="5"/>
    </row>
    <row r="8" spans="1:23" ht="37.5" customHeight="1" x14ac:dyDescent="0.25">
      <c r="A8" s="31" t="s">
        <v>4</v>
      </c>
      <c r="B8" s="31" t="s">
        <v>24</v>
      </c>
      <c r="C8" s="31" t="s">
        <v>5</v>
      </c>
      <c r="D8" s="31" t="s">
        <v>6</v>
      </c>
      <c r="E8" s="31" t="s">
        <v>7</v>
      </c>
      <c r="F8" s="31" t="s">
        <v>64</v>
      </c>
      <c r="G8" s="39" t="s">
        <v>17</v>
      </c>
      <c r="H8" s="40"/>
      <c r="I8" s="40"/>
      <c r="J8" s="40"/>
      <c r="K8" s="41"/>
      <c r="L8" s="36" t="s">
        <v>13</v>
      </c>
      <c r="M8" s="37"/>
      <c r="N8" s="37"/>
      <c r="O8" s="37"/>
      <c r="P8" s="37"/>
      <c r="Q8" s="37"/>
      <c r="R8" s="38"/>
      <c r="S8" s="31" t="s">
        <v>8</v>
      </c>
      <c r="T8" s="31" t="s">
        <v>9</v>
      </c>
      <c r="U8" s="31" t="s">
        <v>10</v>
      </c>
      <c r="V8" s="47" t="s">
        <v>11</v>
      </c>
      <c r="W8" s="42" t="s">
        <v>65</v>
      </c>
    </row>
    <row r="9" spans="1:23" ht="45" customHeight="1" x14ac:dyDescent="0.25">
      <c r="A9" s="32"/>
      <c r="B9" s="32"/>
      <c r="C9" s="32"/>
      <c r="D9" s="32"/>
      <c r="E9" s="32"/>
      <c r="F9" s="32"/>
      <c r="G9" s="6" t="s">
        <v>18</v>
      </c>
      <c r="H9" s="6" t="s">
        <v>19</v>
      </c>
      <c r="I9" s="6" t="s">
        <v>20</v>
      </c>
      <c r="J9" s="6" t="s">
        <v>21</v>
      </c>
      <c r="K9" s="6" t="s">
        <v>22</v>
      </c>
      <c r="L9" s="6" t="s">
        <v>14</v>
      </c>
      <c r="M9" s="6" t="s">
        <v>16</v>
      </c>
      <c r="N9" s="6" t="s">
        <v>15</v>
      </c>
      <c r="O9" s="6" t="s">
        <v>23</v>
      </c>
      <c r="P9" s="6" t="s">
        <v>26</v>
      </c>
      <c r="Q9" s="6" t="s">
        <v>28</v>
      </c>
      <c r="R9" s="6" t="s">
        <v>27</v>
      </c>
      <c r="S9" s="32"/>
      <c r="T9" s="32"/>
      <c r="U9" s="32"/>
      <c r="V9" s="48"/>
      <c r="W9" s="43"/>
    </row>
    <row r="10" spans="1:23" s="18" customFormat="1" ht="181.5" x14ac:dyDescent="0.25">
      <c r="A10" s="29">
        <v>1</v>
      </c>
      <c r="B10" s="10" t="s">
        <v>32</v>
      </c>
      <c r="C10" s="26" t="s">
        <v>45</v>
      </c>
      <c r="D10" s="10">
        <v>1983</v>
      </c>
      <c r="E10" s="10" t="s">
        <v>57</v>
      </c>
      <c r="F10" s="9" t="s">
        <v>59</v>
      </c>
      <c r="G10" s="9" t="s">
        <v>69</v>
      </c>
      <c r="H10" s="9" t="s">
        <v>70</v>
      </c>
      <c r="I10" s="9" t="s">
        <v>71</v>
      </c>
      <c r="J10" s="9" t="s">
        <v>72</v>
      </c>
      <c r="K10" s="9" t="s">
        <v>73</v>
      </c>
      <c r="L10" s="9" t="s">
        <v>66</v>
      </c>
      <c r="M10" s="9" t="s">
        <v>188</v>
      </c>
      <c r="N10" s="9" t="s">
        <v>189</v>
      </c>
      <c r="O10" s="9" t="s">
        <v>75</v>
      </c>
      <c r="P10" s="9" t="s">
        <v>66</v>
      </c>
      <c r="Q10" s="9" t="s">
        <v>66</v>
      </c>
      <c r="R10" s="9"/>
      <c r="S10" s="8" t="s">
        <v>76</v>
      </c>
      <c r="T10" s="8" t="s">
        <v>77</v>
      </c>
      <c r="U10" s="9" t="s">
        <v>78</v>
      </c>
      <c r="V10" s="9" t="s">
        <v>79</v>
      </c>
      <c r="W10" s="9" t="s">
        <v>80</v>
      </c>
    </row>
    <row r="11" spans="1:23" s="18" customFormat="1" ht="220.5" customHeight="1" x14ac:dyDescent="0.25">
      <c r="A11" s="29">
        <v>2</v>
      </c>
      <c r="B11" s="10" t="s">
        <v>33</v>
      </c>
      <c r="C11" s="26" t="s">
        <v>46</v>
      </c>
      <c r="D11" s="10">
        <v>1979</v>
      </c>
      <c r="E11" s="10" t="s">
        <v>57</v>
      </c>
      <c r="F11" s="9" t="s">
        <v>60</v>
      </c>
      <c r="G11" s="9" t="s">
        <v>81</v>
      </c>
      <c r="H11" s="9" t="s">
        <v>82</v>
      </c>
      <c r="I11" s="9" t="s">
        <v>83</v>
      </c>
      <c r="J11" s="9" t="s">
        <v>84</v>
      </c>
      <c r="K11" s="9" t="s">
        <v>85</v>
      </c>
      <c r="L11" s="9" t="s">
        <v>86</v>
      </c>
      <c r="M11" s="9" t="s">
        <v>87</v>
      </c>
      <c r="N11" s="9" t="s">
        <v>88</v>
      </c>
      <c r="O11" s="9" t="s">
        <v>89</v>
      </c>
      <c r="P11" s="9" t="s">
        <v>66</v>
      </c>
      <c r="Q11" s="9" t="s">
        <v>90</v>
      </c>
      <c r="R11" s="9"/>
      <c r="S11" s="8" t="s">
        <v>91</v>
      </c>
      <c r="T11" s="8" t="s">
        <v>192</v>
      </c>
      <c r="U11" s="9" t="s">
        <v>92</v>
      </c>
      <c r="V11" s="9" t="s">
        <v>93</v>
      </c>
      <c r="W11" s="9" t="s">
        <v>94</v>
      </c>
    </row>
    <row r="12" spans="1:23" s="18" customFormat="1" ht="90" customHeight="1" x14ac:dyDescent="0.25">
      <c r="A12" s="29">
        <v>3</v>
      </c>
      <c r="B12" s="10" t="s">
        <v>34</v>
      </c>
      <c r="C12" s="26" t="s">
        <v>47</v>
      </c>
      <c r="D12" s="10">
        <v>1987</v>
      </c>
      <c r="E12" s="10" t="s">
        <v>57</v>
      </c>
      <c r="F12" s="9" t="s">
        <v>61</v>
      </c>
      <c r="G12" s="9">
        <v>161</v>
      </c>
      <c r="H12" s="9">
        <v>60</v>
      </c>
      <c r="I12" s="9" t="s">
        <v>182</v>
      </c>
      <c r="J12" s="9">
        <v>86</v>
      </c>
      <c r="K12" s="9" t="s">
        <v>183</v>
      </c>
      <c r="L12" s="9" t="s">
        <v>68</v>
      </c>
      <c r="M12" s="9" t="s">
        <v>66</v>
      </c>
      <c r="N12" s="9" t="s">
        <v>66</v>
      </c>
      <c r="O12" s="9" t="s">
        <v>184</v>
      </c>
      <c r="P12" s="9" t="s">
        <v>68</v>
      </c>
      <c r="Q12" s="9" t="s">
        <v>68</v>
      </c>
      <c r="R12" s="9"/>
      <c r="S12" s="8" t="s">
        <v>185</v>
      </c>
      <c r="T12" s="8" t="s">
        <v>186</v>
      </c>
      <c r="U12" s="9" t="s">
        <v>127</v>
      </c>
      <c r="V12" s="9" t="s">
        <v>95</v>
      </c>
      <c r="W12" s="28" t="s">
        <v>187</v>
      </c>
    </row>
    <row r="13" spans="1:23" s="18" customFormat="1" ht="231" x14ac:dyDescent="0.25">
      <c r="A13" s="29">
        <v>4</v>
      </c>
      <c r="B13" s="10" t="s">
        <v>35</v>
      </c>
      <c r="C13" s="26" t="s">
        <v>48</v>
      </c>
      <c r="D13" s="10">
        <v>1968</v>
      </c>
      <c r="E13" s="10" t="s">
        <v>57</v>
      </c>
      <c r="F13" s="9" t="s">
        <v>62</v>
      </c>
      <c r="G13" s="9" t="s">
        <v>96</v>
      </c>
      <c r="H13" s="9" t="s">
        <v>97</v>
      </c>
      <c r="I13" s="9" t="s">
        <v>98</v>
      </c>
      <c r="J13" s="9" t="s">
        <v>99</v>
      </c>
      <c r="K13" s="9" t="s">
        <v>100</v>
      </c>
      <c r="L13" s="9" t="s">
        <v>101</v>
      </c>
      <c r="M13" s="9" t="s">
        <v>102</v>
      </c>
      <c r="N13" s="9" t="s">
        <v>103</v>
      </c>
      <c r="O13" s="9" t="s">
        <v>75</v>
      </c>
      <c r="P13" s="9" t="s">
        <v>66</v>
      </c>
      <c r="Q13" s="9" t="s">
        <v>66</v>
      </c>
      <c r="R13" s="9"/>
      <c r="S13" s="8" t="s">
        <v>104</v>
      </c>
      <c r="T13" s="8" t="s">
        <v>105</v>
      </c>
      <c r="U13" s="9" t="s">
        <v>106</v>
      </c>
      <c r="V13" s="9" t="s">
        <v>79</v>
      </c>
      <c r="W13" s="9" t="s">
        <v>107</v>
      </c>
    </row>
    <row r="14" spans="1:23" s="18" customFormat="1" ht="33" x14ac:dyDescent="0.25">
      <c r="A14" s="9">
        <v>5</v>
      </c>
      <c r="B14" s="10" t="s">
        <v>36</v>
      </c>
      <c r="C14" s="27" t="s">
        <v>49</v>
      </c>
      <c r="D14" s="10">
        <v>1976</v>
      </c>
      <c r="E14" s="10" t="s">
        <v>57</v>
      </c>
      <c r="F14" s="9" t="s">
        <v>62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8" t="s">
        <v>68</v>
      </c>
      <c r="T14" s="8" t="s">
        <v>68</v>
      </c>
      <c r="U14" s="9"/>
      <c r="V14" s="9"/>
      <c r="W14" s="9"/>
    </row>
    <row r="15" spans="1:23" s="18" customFormat="1" ht="99" x14ac:dyDescent="0.25">
      <c r="A15" s="29">
        <v>6</v>
      </c>
      <c r="B15" s="10" t="s">
        <v>37</v>
      </c>
      <c r="C15" s="27" t="s">
        <v>50</v>
      </c>
      <c r="D15" s="10">
        <v>1985</v>
      </c>
      <c r="E15" s="10" t="s">
        <v>57</v>
      </c>
      <c r="F15" s="9" t="s">
        <v>62</v>
      </c>
      <c r="G15" s="9" t="s">
        <v>108</v>
      </c>
      <c r="H15" s="9" t="s">
        <v>109</v>
      </c>
      <c r="I15" s="9" t="s">
        <v>110</v>
      </c>
      <c r="J15" s="9" t="s">
        <v>111</v>
      </c>
      <c r="K15" s="9" t="s">
        <v>112</v>
      </c>
      <c r="L15" s="9" t="s">
        <v>66</v>
      </c>
      <c r="M15" s="9" t="s">
        <v>74</v>
      </c>
      <c r="N15" s="9" t="s">
        <v>66</v>
      </c>
      <c r="O15" s="9" t="s">
        <v>113</v>
      </c>
      <c r="P15" s="9" t="s">
        <v>66</v>
      </c>
      <c r="Q15" s="9" t="s">
        <v>66</v>
      </c>
      <c r="R15" s="9"/>
      <c r="S15" s="8" t="s">
        <v>114</v>
      </c>
      <c r="T15" s="8" t="s">
        <v>115</v>
      </c>
      <c r="U15" s="9" t="s">
        <v>116</v>
      </c>
      <c r="V15" s="9" t="s">
        <v>117</v>
      </c>
      <c r="W15" s="9" t="s">
        <v>118</v>
      </c>
    </row>
    <row r="16" spans="1:23" s="18" customFormat="1" ht="132" x14ac:dyDescent="0.25">
      <c r="A16" s="29">
        <v>7</v>
      </c>
      <c r="B16" s="10" t="s">
        <v>38</v>
      </c>
      <c r="C16" s="26" t="s">
        <v>51</v>
      </c>
      <c r="D16" s="10">
        <v>1986</v>
      </c>
      <c r="E16" s="10" t="s">
        <v>58</v>
      </c>
      <c r="F16" s="9" t="s">
        <v>63</v>
      </c>
      <c r="G16" s="9" t="s">
        <v>119</v>
      </c>
      <c r="H16" s="9" t="s">
        <v>120</v>
      </c>
      <c r="I16" s="9" t="s">
        <v>121</v>
      </c>
      <c r="J16" s="9" t="s">
        <v>122</v>
      </c>
      <c r="K16" s="9" t="s">
        <v>123</v>
      </c>
      <c r="L16" s="9" t="s">
        <v>66</v>
      </c>
      <c r="M16" s="9" t="s">
        <v>190</v>
      </c>
      <c r="N16" s="9" t="s">
        <v>66</v>
      </c>
      <c r="O16" s="9" t="s">
        <v>191</v>
      </c>
      <c r="P16" s="9" t="s">
        <v>66</v>
      </c>
      <c r="Q16" s="9" t="s">
        <v>66</v>
      </c>
      <c r="R16" s="9" t="s">
        <v>124</v>
      </c>
      <c r="S16" s="8" t="s">
        <v>125</v>
      </c>
      <c r="T16" s="8" t="s">
        <v>126</v>
      </c>
      <c r="U16" s="9" t="s">
        <v>127</v>
      </c>
      <c r="V16" s="9" t="s">
        <v>128</v>
      </c>
      <c r="W16" s="9" t="s">
        <v>129</v>
      </c>
    </row>
    <row r="17" spans="1:23" s="18" customFormat="1" ht="115.5" x14ac:dyDescent="0.25">
      <c r="A17" s="29">
        <v>8</v>
      </c>
      <c r="B17" s="10" t="s">
        <v>39</v>
      </c>
      <c r="C17" s="26" t="s">
        <v>52</v>
      </c>
      <c r="D17" s="10">
        <v>1985</v>
      </c>
      <c r="E17" s="10" t="s">
        <v>58</v>
      </c>
      <c r="F17" s="9" t="s">
        <v>61</v>
      </c>
      <c r="G17" s="9" t="s">
        <v>130</v>
      </c>
      <c r="H17" s="9" t="s">
        <v>131</v>
      </c>
      <c r="I17" s="9" t="s">
        <v>132</v>
      </c>
      <c r="J17" s="9" t="s">
        <v>133</v>
      </c>
      <c r="K17" s="9" t="s">
        <v>134</v>
      </c>
      <c r="L17" s="9" t="s">
        <v>66</v>
      </c>
      <c r="M17" s="9" t="s">
        <v>74</v>
      </c>
      <c r="N17" s="9" t="s">
        <v>66</v>
      </c>
      <c r="O17" s="9" t="s">
        <v>66</v>
      </c>
      <c r="P17" s="9" t="s">
        <v>66</v>
      </c>
      <c r="Q17" s="9" t="s">
        <v>66</v>
      </c>
      <c r="R17" s="9" t="s">
        <v>135</v>
      </c>
      <c r="S17" s="8" t="s">
        <v>136</v>
      </c>
      <c r="T17" s="8" t="s">
        <v>137</v>
      </c>
      <c r="U17" s="9" t="s">
        <v>92</v>
      </c>
      <c r="V17" s="9" t="s">
        <v>138</v>
      </c>
      <c r="W17" s="9" t="s">
        <v>139</v>
      </c>
    </row>
    <row r="18" spans="1:23" s="30" customFormat="1" ht="115.5" x14ac:dyDescent="0.25">
      <c r="A18" s="9">
        <v>9</v>
      </c>
      <c r="B18" s="10" t="s">
        <v>40</v>
      </c>
      <c r="C18" s="26" t="s">
        <v>53</v>
      </c>
      <c r="D18" s="10">
        <v>1980</v>
      </c>
      <c r="E18" s="10" t="s">
        <v>58</v>
      </c>
      <c r="F18" s="9" t="s">
        <v>62</v>
      </c>
      <c r="G18" s="9" t="s">
        <v>140</v>
      </c>
      <c r="H18" s="9" t="s">
        <v>141</v>
      </c>
      <c r="I18" s="9" t="s">
        <v>71</v>
      </c>
      <c r="J18" s="9" t="s">
        <v>142</v>
      </c>
      <c r="K18" s="9" t="s">
        <v>143</v>
      </c>
      <c r="L18" s="9" t="s">
        <v>66</v>
      </c>
      <c r="M18" s="9" t="s">
        <v>144</v>
      </c>
      <c r="N18" s="9" t="s">
        <v>66</v>
      </c>
      <c r="O18" s="9" t="s">
        <v>145</v>
      </c>
      <c r="P18" s="9" t="s">
        <v>66</v>
      </c>
      <c r="Q18" s="9" t="s">
        <v>66</v>
      </c>
      <c r="R18" s="9" t="s">
        <v>146</v>
      </c>
      <c r="S18" s="8" t="s">
        <v>193</v>
      </c>
      <c r="T18" s="8" t="s">
        <v>194</v>
      </c>
      <c r="U18" s="9" t="s">
        <v>78</v>
      </c>
      <c r="V18" s="9" t="s">
        <v>128</v>
      </c>
      <c r="W18" s="9" t="s">
        <v>147</v>
      </c>
    </row>
    <row r="19" spans="1:23" s="18" customFormat="1" ht="148.5" x14ac:dyDescent="0.25">
      <c r="A19" s="29">
        <v>10</v>
      </c>
      <c r="B19" s="10" t="s">
        <v>41</v>
      </c>
      <c r="C19" s="26" t="s">
        <v>54</v>
      </c>
      <c r="D19" s="10">
        <v>1980</v>
      </c>
      <c r="E19" s="10" t="s">
        <v>58</v>
      </c>
      <c r="F19" s="9" t="s">
        <v>62</v>
      </c>
      <c r="G19" s="9" t="s">
        <v>119</v>
      </c>
      <c r="H19" s="9" t="s">
        <v>141</v>
      </c>
      <c r="I19" s="9" t="s">
        <v>148</v>
      </c>
      <c r="J19" s="9" t="s">
        <v>149</v>
      </c>
      <c r="K19" s="9" t="s">
        <v>150</v>
      </c>
      <c r="L19" s="9" t="s">
        <v>66</v>
      </c>
      <c r="M19" s="9" t="s">
        <v>151</v>
      </c>
      <c r="N19" s="9" t="s">
        <v>66</v>
      </c>
      <c r="O19" s="9" t="s">
        <v>152</v>
      </c>
      <c r="P19" s="9" t="s">
        <v>66</v>
      </c>
      <c r="Q19" s="9" t="s">
        <v>66</v>
      </c>
      <c r="R19" s="9" t="s">
        <v>135</v>
      </c>
      <c r="S19" s="8" t="s">
        <v>153</v>
      </c>
      <c r="T19" s="8" t="s">
        <v>154</v>
      </c>
      <c r="U19" s="9" t="s">
        <v>92</v>
      </c>
      <c r="V19" s="9" t="s">
        <v>79</v>
      </c>
      <c r="W19" s="9" t="s">
        <v>155</v>
      </c>
    </row>
    <row r="20" spans="1:23" s="18" customFormat="1" ht="181.5" x14ac:dyDescent="0.25">
      <c r="A20" s="29">
        <v>11</v>
      </c>
      <c r="B20" s="10" t="s">
        <v>42</v>
      </c>
      <c r="C20" s="26" t="s">
        <v>55</v>
      </c>
      <c r="D20" s="10">
        <v>1984</v>
      </c>
      <c r="E20" s="10" t="s">
        <v>58</v>
      </c>
      <c r="F20" s="9" t="s">
        <v>62</v>
      </c>
      <c r="G20" s="9" t="s">
        <v>156</v>
      </c>
      <c r="H20" s="9" t="s">
        <v>157</v>
      </c>
      <c r="I20" s="9" t="s">
        <v>158</v>
      </c>
      <c r="J20" s="9" t="s">
        <v>159</v>
      </c>
      <c r="K20" s="9" t="s">
        <v>160</v>
      </c>
      <c r="L20" s="9" t="s">
        <v>101</v>
      </c>
      <c r="M20" s="9" t="s">
        <v>161</v>
      </c>
      <c r="N20" s="9" t="s">
        <v>88</v>
      </c>
      <c r="O20" s="9" t="s">
        <v>162</v>
      </c>
      <c r="P20" s="9" t="s">
        <v>66</v>
      </c>
      <c r="Q20" s="9" t="s">
        <v>66</v>
      </c>
      <c r="R20" s="9" t="s">
        <v>163</v>
      </c>
      <c r="S20" s="8" t="s">
        <v>164</v>
      </c>
      <c r="T20" s="8" t="s">
        <v>165</v>
      </c>
      <c r="U20" s="9" t="s">
        <v>92</v>
      </c>
      <c r="V20" s="9" t="s">
        <v>117</v>
      </c>
      <c r="W20" s="9" t="s">
        <v>166</v>
      </c>
    </row>
    <row r="21" spans="1:23" s="18" customFormat="1" ht="82.5" x14ac:dyDescent="0.25">
      <c r="A21" s="29">
        <v>12</v>
      </c>
      <c r="B21" s="10" t="s">
        <v>43</v>
      </c>
      <c r="C21" s="27" t="s">
        <v>67</v>
      </c>
      <c r="D21" s="10">
        <v>1989</v>
      </c>
      <c r="E21" s="10" t="s">
        <v>58</v>
      </c>
      <c r="F21" s="9" t="s">
        <v>62</v>
      </c>
      <c r="G21" s="9" t="s">
        <v>167</v>
      </c>
      <c r="H21" s="9" t="s">
        <v>72</v>
      </c>
      <c r="I21" s="9" t="s">
        <v>168</v>
      </c>
      <c r="J21" s="9" t="s">
        <v>142</v>
      </c>
      <c r="K21" s="9" t="s">
        <v>169</v>
      </c>
      <c r="L21" s="9" t="s">
        <v>66</v>
      </c>
      <c r="M21" s="9" t="s">
        <v>74</v>
      </c>
      <c r="N21" s="9" t="s">
        <v>66</v>
      </c>
      <c r="O21" s="9" t="s">
        <v>170</v>
      </c>
      <c r="P21" s="9" t="s">
        <v>66</v>
      </c>
      <c r="Q21" s="9" t="s">
        <v>66</v>
      </c>
      <c r="R21" s="9" t="s">
        <v>171</v>
      </c>
      <c r="S21" s="8" t="s">
        <v>172</v>
      </c>
      <c r="T21" s="8" t="s">
        <v>173</v>
      </c>
      <c r="U21" s="9" t="s">
        <v>92</v>
      </c>
      <c r="V21" s="9" t="s">
        <v>79</v>
      </c>
      <c r="W21" s="9" t="s">
        <v>174</v>
      </c>
    </row>
    <row r="22" spans="1:23" s="18" customFormat="1" ht="119.25" customHeight="1" x14ac:dyDescent="0.25">
      <c r="A22" s="29">
        <v>13</v>
      </c>
      <c r="B22" s="10" t="s">
        <v>44</v>
      </c>
      <c r="C22" s="26" t="s">
        <v>56</v>
      </c>
      <c r="D22" s="10">
        <v>1994</v>
      </c>
      <c r="E22" s="10" t="s">
        <v>58</v>
      </c>
      <c r="F22" s="9" t="s">
        <v>62</v>
      </c>
      <c r="G22" s="9">
        <v>156</v>
      </c>
      <c r="H22" s="9">
        <v>43</v>
      </c>
      <c r="I22" s="9" t="s">
        <v>175</v>
      </c>
      <c r="J22" s="9">
        <v>109</v>
      </c>
      <c r="K22" s="9" t="s">
        <v>176</v>
      </c>
      <c r="L22" s="9" t="s">
        <v>68</v>
      </c>
      <c r="M22" s="9" t="s">
        <v>177</v>
      </c>
      <c r="N22" s="9" t="s">
        <v>68</v>
      </c>
      <c r="O22" s="9" t="s">
        <v>68</v>
      </c>
      <c r="P22" s="9" t="s">
        <v>68</v>
      </c>
      <c r="Q22" s="9" t="s">
        <v>68</v>
      </c>
      <c r="R22" s="9" t="s">
        <v>178</v>
      </c>
      <c r="S22" s="8" t="s">
        <v>179</v>
      </c>
      <c r="T22" s="8" t="s">
        <v>180</v>
      </c>
      <c r="U22" s="9" t="s">
        <v>127</v>
      </c>
      <c r="V22" s="9" t="s">
        <v>95</v>
      </c>
      <c r="W22" s="28" t="s">
        <v>181</v>
      </c>
    </row>
    <row r="23" spans="1:23" s="18" customFormat="1" ht="15.75" customHeight="1" x14ac:dyDescent="0.25">
      <c r="A23" s="19"/>
      <c r="B23" s="19"/>
      <c r="C23" s="25">
        <f>COUNTA(C10:C22)</f>
        <v>13</v>
      </c>
      <c r="D23" s="25">
        <f t="shared" ref="D23:W23" si="0">COUNTA(D10:D22)</f>
        <v>13</v>
      </c>
      <c r="E23" s="25">
        <f t="shared" si="0"/>
        <v>13</v>
      </c>
      <c r="F23" s="25">
        <f t="shared" si="0"/>
        <v>13</v>
      </c>
      <c r="G23" s="25">
        <f t="shared" si="0"/>
        <v>12</v>
      </c>
      <c r="H23" s="25">
        <f t="shared" si="0"/>
        <v>12</v>
      </c>
      <c r="I23" s="25">
        <f t="shared" si="0"/>
        <v>12</v>
      </c>
      <c r="J23" s="25">
        <f t="shared" si="0"/>
        <v>12</v>
      </c>
      <c r="K23" s="25">
        <f t="shared" si="0"/>
        <v>12</v>
      </c>
      <c r="L23" s="25">
        <f t="shared" si="0"/>
        <v>12</v>
      </c>
      <c r="M23" s="25">
        <f t="shared" si="0"/>
        <v>12</v>
      </c>
      <c r="N23" s="25">
        <f t="shared" si="0"/>
        <v>12</v>
      </c>
      <c r="O23" s="25">
        <f t="shared" si="0"/>
        <v>12</v>
      </c>
      <c r="P23" s="25">
        <f t="shared" si="0"/>
        <v>12</v>
      </c>
      <c r="Q23" s="25">
        <f t="shared" si="0"/>
        <v>12</v>
      </c>
      <c r="R23" s="25">
        <f t="shared" si="0"/>
        <v>7</v>
      </c>
      <c r="S23" s="25">
        <f t="shared" si="0"/>
        <v>13</v>
      </c>
      <c r="T23" s="25">
        <f t="shared" si="0"/>
        <v>13</v>
      </c>
      <c r="U23" s="25">
        <f t="shared" si="0"/>
        <v>12</v>
      </c>
      <c r="V23" s="25">
        <f t="shared" si="0"/>
        <v>12</v>
      </c>
      <c r="W23" s="25">
        <f t="shared" si="0"/>
        <v>12</v>
      </c>
    </row>
    <row r="24" spans="1:23" ht="19.5" x14ac:dyDescent="0.35">
      <c r="O24" s="33" t="s">
        <v>30</v>
      </c>
      <c r="P24" s="33"/>
      <c r="Q24" s="33"/>
      <c r="R24" s="33"/>
      <c r="S24" s="33"/>
      <c r="T24" s="33"/>
      <c r="U24" s="33"/>
      <c r="V24" s="11"/>
      <c r="W24" s="11"/>
    </row>
    <row r="25" spans="1:23" x14ac:dyDescent="0.3">
      <c r="A25" s="34"/>
      <c r="B25" s="34"/>
      <c r="C25" s="34"/>
      <c r="D25" s="34"/>
      <c r="E25" s="34"/>
      <c r="F25" s="23"/>
      <c r="G25" s="17"/>
      <c r="H25" s="17"/>
      <c r="I25" s="17"/>
      <c r="J25" s="17"/>
      <c r="K25" s="17"/>
      <c r="L25" s="17"/>
      <c r="M25" s="17"/>
      <c r="N25" s="17"/>
      <c r="O25" s="35" t="s">
        <v>12</v>
      </c>
      <c r="P25" s="35"/>
      <c r="Q25" s="35"/>
      <c r="R25" s="35"/>
      <c r="S25" s="35"/>
      <c r="T25" s="35"/>
      <c r="U25" s="35"/>
      <c r="V25" s="11"/>
      <c r="W25" s="11"/>
    </row>
    <row r="26" spans="1:23" x14ac:dyDescent="0.3">
      <c r="V26" s="11"/>
      <c r="W26" s="11"/>
    </row>
    <row r="27" spans="1:23" x14ac:dyDescent="0.3">
      <c r="V27" s="11"/>
      <c r="W27" s="11"/>
    </row>
    <row r="28" spans="1:23" x14ac:dyDescent="0.3">
      <c r="V28" s="11"/>
      <c r="W28" s="11"/>
    </row>
    <row r="29" spans="1:23" x14ac:dyDescent="0.3">
      <c r="V29" s="11"/>
      <c r="W29" s="11"/>
    </row>
    <row r="30" spans="1:23" x14ac:dyDescent="0.3">
      <c r="A30"/>
      <c r="B30" s="20"/>
      <c r="C30" s="20"/>
      <c r="D30" s="21"/>
      <c r="E30" s="21"/>
      <c r="F30" s="24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 s="11"/>
      <c r="W30" s="11"/>
    </row>
    <row r="31" spans="1:23" x14ac:dyDescent="0.3">
      <c r="A31"/>
      <c r="B31" s="20"/>
      <c r="C31" s="20"/>
      <c r="D31" s="21"/>
      <c r="E31" s="21"/>
      <c r="F31" s="24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 s="11"/>
      <c r="W31" s="11"/>
    </row>
    <row r="32" spans="1:23" x14ac:dyDescent="0.3">
      <c r="A32"/>
      <c r="B32" s="20"/>
      <c r="C32" s="20"/>
      <c r="D32" s="21"/>
      <c r="E32" s="21"/>
      <c r="F32" s="24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 s="11"/>
      <c r="W32" s="11"/>
    </row>
    <row r="35" spans="1:23" x14ac:dyDescent="0.3">
      <c r="A35"/>
      <c r="B35" s="20"/>
      <c r="C35" s="20"/>
      <c r="D35" s="21"/>
      <c r="E35" s="21"/>
      <c r="F35" s="24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 s="16"/>
      <c r="W35" s="16"/>
    </row>
  </sheetData>
  <mergeCells count="23">
    <mergeCell ref="W8:W9"/>
    <mergeCell ref="A6:U6"/>
    <mergeCell ref="A1:U1"/>
    <mergeCell ref="A2:U2"/>
    <mergeCell ref="A3:U3"/>
    <mergeCell ref="A4:U4"/>
    <mergeCell ref="A5:U5"/>
    <mergeCell ref="V8:V9"/>
    <mergeCell ref="A7:U7"/>
    <mergeCell ref="S8:S9"/>
    <mergeCell ref="T8:T9"/>
    <mergeCell ref="U8:U9"/>
    <mergeCell ref="O25:U25"/>
    <mergeCell ref="O24:U24"/>
    <mergeCell ref="F8:F9"/>
    <mergeCell ref="L8:R8"/>
    <mergeCell ref="B8:B9"/>
    <mergeCell ref="A25:E25"/>
    <mergeCell ref="G8:K8"/>
    <mergeCell ref="A8:A9"/>
    <mergeCell ref="C8:C9"/>
    <mergeCell ref="D8:D9"/>
    <mergeCell ref="E8:E9"/>
  </mergeCells>
  <conditionalFormatting sqref="C10:C22">
    <cfRule type="duplicateValues" dxfId="0" priority="3" stopIfTrue="1"/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KQCN</vt:lpstr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Gigabyte</dc:creator>
  <cp:lastModifiedBy>Hoàng Giang Nguyễn</cp:lastModifiedBy>
  <dcterms:created xsi:type="dcterms:W3CDTF">2018-05-14T02:52:35Z</dcterms:created>
  <dcterms:modified xsi:type="dcterms:W3CDTF">2025-05-29T03:53:25Z</dcterms:modified>
</cp:coreProperties>
</file>