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CT PT VÀ KHAI THÁC HẠ TẦNG KHU CÔNG NGHIỆP ĐÀ NẴNG (74-2025)\"/>
    </mc:Choice>
  </mc:AlternateContent>
  <xr:revisionPtr revIDLastSave="0" documentId="13_ncr:1_{CC60BEDB-AA77-4055-8B12-E5DD478AFB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2" r:id="rId1"/>
    <sheet name="DS CŨ" sheetId="6" state="hidden" r:id="rId2"/>
    <sheet name="DM" sheetId="3" r:id="rId3"/>
    <sheet name="DS VIP" sheetId="5" state="hidden" r:id="rId4"/>
  </sheets>
  <definedNames>
    <definedName name="_xlnm._FilterDatabase" localSheetId="0" hidden="1">DS!$A$1:$G$40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0" i="2"/>
  <c r="C31" i="2"/>
  <c r="C32" i="2"/>
  <c r="C33" i="2"/>
  <c r="C34" i="2"/>
  <c r="C35" i="2"/>
  <c r="C36" i="2"/>
  <c r="C37" i="2"/>
  <c r="C38" i="2"/>
  <c r="C39" i="2"/>
  <c r="C40" i="2"/>
  <c r="C2" i="2"/>
</calcChain>
</file>

<file path=xl/sharedStrings.xml><?xml version="1.0" encoding="utf-8"?>
<sst xmlns="http://schemas.openxmlformats.org/spreadsheetml/2006/main" count="336" uniqueCount="172">
  <si>
    <t>Họ và tên</t>
  </si>
  <si>
    <t>Phòng ban</t>
  </si>
  <si>
    <t>Chức vụ</t>
  </si>
  <si>
    <t>Năm sinh</t>
  </si>
  <si>
    <t>Giới tính</t>
  </si>
  <si>
    <t>Nguyễn Trọng Cường</t>
  </si>
  <si>
    <t>Lãnh đạo</t>
  </si>
  <si>
    <t>Giám đốc</t>
  </si>
  <si>
    <t>Nam</t>
  </si>
  <si>
    <t>Trần Thu Hương</t>
  </si>
  <si>
    <t>Phó giám đốc</t>
  </si>
  <si>
    <t>Nữ</t>
  </si>
  <si>
    <t>Trương Văn Cường</t>
  </si>
  <si>
    <t>Nguyễn Kim Trọng</t>
  </si>
  <si>
    <t>Phòng Hành chính-Tổng hợp</t>
  </si>
  <si>
    <t>Trưởng phòng</t>
  </si>
  <si>
    <t>Nguyễn Thị Thơ</t>
  </si>
  <si>
    <t>Phó trưởng phòng</t>
  </si>
  <si>
    <t>Phạm Gia Hy</t>
  </si>
  <si>
    <t>Văn thư viên</t>
  </si>
  <si>
    <t>Nguyễn Văn Thọ</t>
  </si>
  <si>
    <t>Nhân viên lái xe</t>
  </si>
  <si>
    <t>Trịnh Minh Thắng</t>
  </si>
  <si>
    <t>Phòng Kế hoạch</t>
  </si>
  <si>
    <t>Dương Dũng</t>
  </si>
  <si>
    <t>Chuyên viên</t>
  </si>
  <si>
    <t>Đinh Thị Kim Tâm</t>
  </si>
  <si>
    <t>Phan Lê Phước Nghĩa</t>
  </si>
  <si>
    <t xml:space="preserve">Phòng Kế hoạch </t>
  </si>
  <si>
    <t>Bùi Tấn Sơn</t>
  </si>
  <si>
    <t>Nguyễn Thị Hoa</t>
  </si>
  <si>
    <t>Phòng Kế toán - Tài vụ</t>
  </si>
  <si>
    <t>Nguyễn Hạnh Thắm</t>
  </si>
  <si>
    <t>Nguyễn Thị Hằng Nga</t>
  </si>
  <si>
    <t>Phạm Thị Cẩm Lai</t>
  </si>
  <si>
    <t>Ông Văn Lộc</t>
  </si>
  <si>
    <t>Phòng Kỹ Thuật</t>
  </si>
  <si>
    <t>Trần Thị Anh Thư</t>
  </si>
  <si>
    <t>Phó phòng</t>
  </si>
  <si>
    <t>Nguyễn Huy Liêm</t>
  </si>
  <si>
    <t>Trần Tuấn Hảo</t>
  </si>
  <si>
    <t>Ngô Hoài Phương</t>
  </si>
  <si>
    <t>Nguyễn Trung Hiếu</t>
  </si>
  <si>
    <t>Phòng QL KCN DVTS Đà Nẵng</t>
  </si>
  <si>
    <t>Hồ Thị Vân</t>
  </si>
  <si>
    <t>Trương Văn Hùng</t>
  </si>
  <si>
    <t>Cán sự</t>
  </si>
  <si>
    <t>Đỗ Viết Tấn</t>
  </si>
  <si>
    <t>Nhân viên bảo vệ</t>
  </si>
  <si>
    <t>Phan Trung Tiến</t>
  </si>
  <si>
    <t>Lê Trung Hiếu</t>
  </si>
  <si>
    <t xml:space="preserve">Văn Quang Viên </t>
  </si>
  <si>
    <t>Xí nghiệp QL&amp;DV KCN Hòa Khánh</t>
  </si>
  <si>
    <t>Giám đốc XN</t>
  </si>
  <si>
    <t>Ngô Tấn Trung</t>
  </si>
  <si>
    <t>Phó giám đốc XN</t>
  </si>
  <si>
    <t>Nguyễn Pho</t>
  </si>
  <si>
    <t>Phan Văn Hùng</t>
  </si>
  <si>
    <t>Trần Văn Quân</t>
  </si>
  <si>
    <t>Nguyễn Thị Thu</t>
  </si>
  <si>
    <t>Phục vụ</t>
  </si>
  <si>
    <t>Phan Xuân Khánh</t>
  </si>
  <si>
    <t>Trương Công Tuấn</t>
  </si>
  <si>
    <t>Nguyễn Phan Thanh</t>
  </si>
  <si>
    <t>Phan Văn Tuấn</t>
  </si>
  <si>
    <t>Võ Tòng Vũ</t>
  </si>
  <si>
    <t>Nguyễn Trung Kiên</t>
  </si>
  <si>
    <t>Stt</t>
  </si>
  <si>
    <t>Danh mục khám</t>
  </si>
  <si>
    <t>Chức năng khám</t>
  </si>
  <si>
    <t>Khám tổng quát</t>
  </si>
  <si>
    <t>Khám chuyên khoa Nội, ngoại tổng quát, Chuyên khoa TMH, Chuyên Khoa RMH, Chuyên khoa mắt, cân đo, huyết áp,….</t>
  </si>
  <si>
    <t>Phát hiện sơ bộ các bệnh lý toàn thân (Đo chỉ số cơ thể (BMI), mạch, huyết áp, khám chung tất cả,…..)</t>
  </si>
  <si>
    <t xml:space="preserve">Phát hiện sơ bộ các bệnh lý ngoại khoa toàn thân </t>
  </si>
  <si>
    <t>Phát hiện sơ bộ các bệnh lý về Tai - Mũi - Họng, tư vấn các bệnh lý về viên xoang, thanh quản,….</t>
  </si>
  <si>
    <t>Phát hiện các bệnh lý sơ bộ về Răng,…viêm nướu, sâu răng và các bệnh khác về Răng.</t>
  </si>
  <si>
    <t>Phát hiện các bệnh lý sơ bộ về Mắt, đo mắt,…</t>
  </si>
  <si>
    <t>Chẩn đoán hình ảnh</t>
  </si>
  <si>
    <t>Chụp X-Quang tim phổi kỹ thuật số (Hãng Fuji - Nhật)</t>
  </si>
  <si>
    <t>Phát hiện các bệnh về lao, phổi, u, … Bệnh tim liên quan tới phổi.</t>
  </si>
  <si>
    <t>Siêu âm màu Bụng - Tổng Quát  (Máy GE LOGIQ S7 Expert Công  nghệ XDclear đầu dò ma trận siêu nông - Mỹ )</t>
  </si>
  <si>
    <t>Đánh giá các bất thường ở ổ bụng: gan, thận, mật, tử cung buồng trứng (đối với nữ), tuyến tiền liệt (đối với nam).</t>
  </si>
  <si>
    <t>Siêu âm Tuyến giáp  (Máy GE LOGIQ S7 Expert Công  nghệ XDclear đầu dò ma trận siêu nông - Mỹ )</t>
  </si>
  <si>
    <t>Phát hiện sớm, chính xác các bệnh lý về tuyến giáp (bướu cổ).</t>
  </si>
  <si>
    <t>Điện tâm đồ. (Đo điện tim) 12 kênh (Hãng GE - Mỹ)</t>
  </si>
  <si>
    <t>Phát hiện sớm các bệnh lý thiếu máu cơ tim, rối loạn nhịp tim</t>
  </si>
  <si>
    <t>Nước tiểu toàn phần</t>
  </si>
  <si>
    <t>Nước tiểu 10 thông số. (Xét nghiệm nước tiểu toàn phần) (Hãng Roche - Thụy sỹ - Hóa chất chính hãng - Hóa chất chính hãng - Hóa chất chính hãng)</t>
  </si>
  <si>
    <t xml:space="preserve">Phát hiện bệnh tiểu đường, các bệnh thận, viêm cầu thận, viêm đường tiết niệu và các bệnh lý của các cơ quan khác trong cơ thể </t>
  </si>
  <si>
    <t>Công thức máu</t>
  </si>
  <si>
    <t>Tổng phân tích tế bào máu bằng máy Laser. (Xét nghiệm công thức máu toàn phần) (Hãng Sysmec -  Thụy Sỹ - Hóa chất chính hãng)</t>
  </si>
  <si>
    <t>Phân tích hồng cầu, bạch cầu, tiểu cầu, huyết sắc tố, hematocrit, công thức bạch cầu … để phát hiện các bệnh về máu, viêm nhiễm, thiếu máu…</t>
  </si>
  <si>
    <t>Kiểm tra đường huyết</t>
  </si>
  <si>
    <t>Định lượng GLUCOSE máu. (Hãng Roche - Thụy sỹ - Hóa chất chính hãng - Hóa chất chính hãng)</t>
  </si>
  <si>
    <t>Phát hiện các bất thường về đường máu</t>
  </si>
  <si>
    <t>Kiểm tra chức năng gan</t>
  </si>
  <si>
    <t>AST ( SGOT )  (Hãng Roche - Thụy sỹ - Hóa chất chính hãng - Hóa chất chính hãng)</t>
  </si>
  <si>
    <t>Phát hiện tình trạng viêm gan</t>
  </si>
  <si>
    <t>ALT ( SGPT )  (Hãng Roche - Thụy sỹ - Hóa chất chính hãng - Hóa chất chính hãng)</t>
  </si>
  <si>
    <t>Kiểm tra chức năng thận</t>
  </si>
  <si>
    <t>Định lượng CREATINIE máu (Hãng Roche - Thụy sỹ - Hóa chất chính hãng - Hóa chất chính hãng)</t>
  </si>
  <si>
    <t>Đánh giá chức năng thận.</t>
  </si>
  <si>
    <t>Mỡ máu</t>
  </si>
  <si>
    <t>Cholesterol TP (Hãng Roche - Thụy sỹ - Hóa chất chính hãng)</t>
  </si>
  <si>
    <t>Cholesterol toàn phần</t>
  </si>
  <si>
    <t>Triglycerid (Hãng Roche - Thụy sỹ - Hóa chất chính hãng)</t>
  </si>
  <si>
    <t>1 dạng chất béo</t>
  </si>
  <si>
    <t>Kiểm tra gout</t>
  </si>
  <si>
    <t>Định lượng ACID URIC máu (Hãng Roche - Thụy sỹ - Hóa chất chính hãng - Hóa chất chính hãng)</t>
  </si>
  <si>
    <t>Phát hiện bệnh Goutte.</t>
  </si>
  <si>
    <t>Gói Nữ</t>
  </si>
  <si>
    <t>Khám phụ khoa</t>
  </si>
  <si>
    <t>Khám Vú</t>
  </si>
  <si>
    <t xml:space="preserve">Tổng kết và tư vấn sức khỏe </t>
  </si>
  <si>
    <t xml:space="preserve">Tư vấn điều trị toàn bộ các kết quả khám </t>
  </si>
  <si>
    <t xml:space="preserve">Tặng 1 phiếu thức uống miễn phí Café Sân Vườn tại ngay Trung tâm Thiện Nhân </t>
  </si>
  <si>
    <t>DANH MỤC - LÁI XE</t>
  </si>
  <si>
    <t>Khám ngoại</t>
  </si>
  <si>
    <t xml:space="preserve">Test Ma tuý tổng hợp </t>
  </si>
  <si>
    <t>Phát hiện định tính nhiễm virus HIV</t>
  </si>
  <si>
    <t>Ethanol(Nồng độ cồn trong máu)</t>
  </si>
  <si>
    <t>Kiểm tra nồng độ cồn</t>
  </si>
  <si>
    <t>Số lượng</t>
  </si>
  <si>
    <t>STT</t>
  </si>
  <si>
    <t>Mã số</t>
  </si>
  <si>
    <t>Họ và tên</t>
  </si>
  <si>
    <t>Thứ tự NV</t>
  </si>
  <si>
    <t>Ngày</t>
  </si>
  <si>
    <t>Tháng</t>
  </si>
  <si>
    <t>Năm</t>
  </si>
  <si>
    <t>NV01</t>
  </si>
  <si>
    <t>NV02</t>
  </si>
  <si>
    <t>NV03</t>
  </si>
  <si>
    <t>NV29</t>
  </si>
  <si>
    <t>NV09</t>
  </si>
  <si>
    <t>NV43</t>
  </si>
  <si>
    <t>NV06</t>
  </si>
  <si>
    <t>NV13</t>
  </si>
  <si>
    <t>NV14</t>
  </si>
  <si>
    <t>NV15</t>
  </si>
  <si>
    <t>NV16</t>
  </si>
  <si>
    <t>NV17</t>
  </si>
  <si>
    <t>NV07</t>
  </si>
  <si>
    <t>NV08</t>
  </si>
  <si>
    <t>NV10</t>
  </si>
  <si>
    <t>NV12</t>
  </si>
  <si>
    <t>NV19</t>
  </si>
  <si>
    <t>NV18</t>
  </si>
  <si>
    <t>NV21</t>
  </si>
  <si>
    <t>NV20</t>
  </si>
  <si>
    <t>NV22</t>
  </si>
  <si>
    <t>NV23</t>
  </si>
  <si>
    <t>NV28</t>
  </si>
  <si>
    <t>NV25</t>
  </si>
  <si>
    <t>NV27</t>
  </si>
  <si>
    <t>NV41</t>
  </si>
  <si>
    <t>NV04</t>
  </si>
  <si>
    <t>NV30</t>
  </si>
  <si>
    <t>NV31</t>
  </si>
  <si>
    <t>NV26</t>
  </si>
  <si>
    <t>NV34</t>
  </si>
  <si>
    <t>NV32</t>
  </si>
  <si>
    <t>NV39</t>
  </si>
  <si>
    <t>NV35</t>
  </si>
  <si>
    <t>NV42</t>
  </si>
  <si>
    <t>NV37</t>
  </si>
  <si>
    <t>NV40</t>
  </si>
  <si>
    <t>NV36</t>
  </si>
  <si>
    <t>Mai Xuân Trung</t>
  </si>
  <si>
    <t>MÃ NV</t>
  </si>
  <si>
    <t>NV44</t>
  </si>
  <si>
    <t>NV45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</si>
</sst>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</font>
    <font>
      <sz val="13"/>
      <color rgb="FF000000"/>
      <name val="Times New Roman"/>
      <family val="1"/>
    </font>
    <font>
      <b/>
      <i/>
      <sz val="13"/>
      <color rgb="FFFF0000"/>
      <name val="Times New Roman"/>
      <family val="1"/>
    </font>
    <font>
      <b/>
      <sz val="16"/>
      <color rgb="FF000000"/>
      <name val="Times New Roman"/>
      <family val="1"/>
    </font>
    <font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justify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justify" vertical="center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vertical="center"/>
    </xf>
    <xf numFmtId="3" fontId="11" fillId="4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1" fontId="7" fillId="2" borderId="1" xfId="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3" xfId="2" xr:uid="{39339E13-CC89-4EAC-B2E9-956FD3812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C587-F844-4FA3-8344-E21A9C02D18B}">
  <dimension ref="A1:G40"/>
  <sheetViews>
    <sheetView tabSelected="1" view="pageBreakPreview" topLeftCell="A7" zoomScale="60" zoomScaleNormal="100" workbookViewId="0">
      <selection activeCell="C27" sqref="C27"/>
    </sheetView>
  </sheetViews>
  <sheetFormatPr defaultRowHeight="15" x14ac:dyDescent="0.25"/>
  <cols>
    <col min="1" max="1" width="10.5703125" customWidth="1"/>
    <col min="2" max="2" width="26.28515625" bestFit="1" customWidth="1"/>
    <col min="3" max="3" width="26.28515625" customWidth="1"/>
    <col min="4" max="4" width="15.140625" customWidth="1"/>
    <col min="5" max="5" width="17.28515625" customWidth="1"/>
    <col min="6" max="6" width="40.140625" bestFit="1" customWidth="1"/>
    <col min="7" max="7" width="21.85546875" bestFit="1" customWidth="1"/>
  </cols>
  <sheetData>
    <row r="1" spans="1:7" ht="15.75" x14ac:dyDescent="0.25">
      <c r="A1" s="3" t="s">
        <v>123</v>
      </c>
      <c r="B1" s="3" t="s">
        <v>0</v>
      </c>
      <c r="C1" s="3" t="s">
        <v>169</v>
      </c>
      <c r="D1" s="3" t="s">
        <v>4</v>
      </c>
      <c r="E1" s="3" t="s">
        <v>3</v>
      </c>
      <c r="F1" s="3" t="s">
        <v>1</v>
      </c>
      <c r="G1" s="3" t="s">
        <v>2</v>
      </c>
    </row>
    <row r="2" spans="1:7" ht="15.75" x14ac:dyDescent="0.25">
      <c r="A2" s="1">
        <v>1</v>
      </c>
      <c r="B2" s="2" t="s">
        <v>5</v>
      </c>
      <c r="C2" s="2" t="str">
        <f>VLOOKUP(B2,'DS CŨ'!$B$2:$C$39,2,0)</f>
        <v>NV01</v>
      </c>
      <c r="D2" s="1" t="s">
        <v>8</v>
      </c>
      <c r="E2" s="1">
        <v>1971</v>
      </c>
      <c r="F2" s="1" t="s">
        <v>6</v>
      </c>
      <c r="G2" s="1" t="s">
        <v>7</v>
      </c>
    </row>
    <row r="3" spans="1:7" ht="15.75" x14ac:dyDescent="0.25">
      <c r="A3" s="1">
        <v>2</v>
      </c>
      <c r="B3" s="2" t="s">
        <v>12</v>
      </c>
      <c r="C3" s="2" t="str">
        <f>VLOOKUP(B3,'DS CŨ'!$B$2:$C$39,2,0)</f>
        <v>NV03</v>
      </c>
      <c r="D3" s="1" t="s">
        <v>8</v>
      </c>
      <c r="E3" s="1">
        <v>1983</v>
      </c>
      <c r="F3" s="1" t="s">
        <v>6</v>
      </c>
      <c r="G3" s="1" t="s">
        <v>10</v>
      </c>
    </row>
    <row r="4" spans="1:7" ht="15.75" x14ac:dyDescent="0.25">
      <c r="A4" s="1">
        <v>3</v>
      </c>
      <c r="B4" s="2" t="s">
        <v>13</v>
      </c>
      <c r="C4" s="2" t="str">
        <f>VLOOKUP(B4,'DS CŨ'!$B$2:$C$39,2,0)</f>
        <v>NV29</v>
      </c>
      <c r="D4" s="1" t="s">
        <v>8</v>
      </c>
      <c r="E4" s="1">
        <v>1972</v>
      </c>
      <c r="F4" s="1" t="s">
        <v>14</v>
      </c>
      <c r="G4" s="1" t="s">
        <v>15</v>
      </c>
    </row>
    <row r="5" spans="1:7" ht="15.75" x14ac:dyDescent="0.25">
      <c r="A5" s="1">
        <v>4</v>
      </c>
      <c r="B5" s="2" t="s">
        <v>20</v>
      </c>
      <c r="C5" s="2" t="str">
        <f>VLOOKUP(B5,'DS CŨ'!$B$2:$C$39,2,0)</f>
        <v>NV06</v>
      </c>
      <c r="D5" s="1" t="s">
        <v>8</v>
      </c>
      <c r="E5" s="1">
        <v>1972</v>
      </c>
      <c r="F5" s="1" t="s">
        <v>14</v>
      </c>
      <c r="G5" s="1" t="s">
        <v>21</v>
      </c>
    </row>
    <row r="6" spans="1:7" ht="15.75" x14ac:dyDescent="0.25">
      <c r="A6" s="1">
        <v>5</v>
      </c>
      <c r="B6" s="2" t="s">
        <v>22</v>
      </c>
      <c r="C6" s="2" t="str">
        <f>VLOOKUP(B6,'DS CŨ'!$B$2:$C$39,2,0)</f>
        <v>NV13</v>
      </c>
      <c r="D6" s="1" t="s">
        <v>8</v>
      </c>
      <c r="E6" s="1">
        <v>1975</v>
      </c>
      <c r="F6" s="1" t="s">
        <v>23</v>
      </c>
      <c r="G6" s="1" t="s">
        <v>15</v>
      </c>
    </row>
    <row r="7" spans="1:7" ht="15.75" x14ac:dyDescent="0.25">
      <c r="A7" s="1">
        <v>6</v>
      </c>
      <c r="B7" s="2" t="s">
        <v>24</v>
      </c>
      <c r="C7" s="2" t="str">
        <f>VLOOKUP(B7,'DS CŨ'!$B$2:$C$39,2,0)</f>
        <v>NV15</v>
      </c>
      <c r="D7" s="1" t="s">
        <v>8</v>
      </c>
      <c r="E7" s="1">
        <v>1968</v>
      </c>
      <c r="F7" s="1" t="s">
        <v>23</v>
      </c>
      <c r="G7" s="1" t="s">
        <v>25</v>
      </c>
    </row>
    <row r="8" spans="1:7" ht="15.75" x14ac:dyDescent="0.25">
      <c r="A8" s="1">
        <v>7</v>
      </c>
      <c r="B8" s="2" t="s">
        <v>27</v>
      </c>
      <c r="C8" s="2" t="str">
        <f>VLOOKUP(B8,'DS CŨ'!$B$2:$C$39,2,0)</f>
        <v>NV21</v>
      </c>
      <c r="D8" s="1" t="s">
        <v>8</v>
      </c>
      <c r="E8" s="1">
        <v>1979</v>
      </c>
      <c r="F8" s="1" t="s">
        <v>28</v>
      </c>
      <c r="G8" s="1" t="s">
        <v>25</v>
      </c>
    </row>
    <row r="9" spans="1:7" ht="15.75" x14ac:dyDescent="0.25">
      <c r="A9" s="1">
        <v>8</v>
      </c>
      <c r="B9" s="2" t="s">
        <v>29</v>
      </c>
      <c r="C9" s="2" t="str">
        <f>VLOOKUP(B9,'DS CŨ'!$B$2:$C$39,2,0)</f>
        <v>NV26</v>
      </c>
      <c r="D9" s="1" t="s">
        <v>8</v>
      </c>
      <c r="E9" s="1">
        <v>1995</v>
      </c>
      <c r="F9" s="1" t="s">
        <v>28</v>
      </c>
      <c r="G9" s="1" t="s">
        <v>25</v>
      </c>
    </row>
    <row r="10" spans="1:7" ht="15.75" x14ac:dyDescent="0.25">
      <c r="A10" s="1">
        <v>9</v>
      </c>
      <c r="B10" s="2" t="s">
        <v>35</v>
      </c>
      <c r="C10" s="2" t="str">
        <f>VLOOKUP(B10,'DS CŨ'!$B$2:$C$39,2,0)</f>
        <v>NV19</v>
      </c>
      <c r="D10" s="1" t="s">
        <v>8</v>
      </c>
      <c r="E10" s="1">
        <v>1981</v>
      </c>
      <c r="F10" s="1" t="s">
        <v>36</v>
      </c>
      <c r="G10" s="1" t="s">
        <v>15</v>
      </c>
    </row>
    <row r="11" spans="1:7" ht="15.75" x14ac:dyDescent="0.25">
      <c r="A11" s="1">
        <v>10</v>
      </c>
      <c r="B11" s="2" t="s">
        <v>39</v>
      </c>
      <c r="C11" s="2" t="str">
        <f>VLOOKUP(B11,'DS CŨ'!$B$2:$C$39,2,0)</f>
        <v>NV18</v>
      </c>
      <c r="D11" s="1" t="s">
        <v>8</v>
      </c>
      <c r="E11" s="1">
        <v>1985</v>
      </c>
      <c r="F11" s="1" t="s">
        <v>36</v>
      </c>
      <c r="G11" s="1" t="s">
        <v>25</v>
      </c>
    </row>
    <row r="12" spans="1:7" ht="15.75" x14ac:dyDescent="0.25">
      <c r="A12" s="1">
        <v>11</v>
      </c>
      <c r="B12" s="2" t="s">
        <v>40</v>
      </c>
      <c r="C12" s="2" t="str">
        <f>VLOOKUP(B12,'DS CŨ'!$B$2:$C$39,2,0)</f>
        <v>NV20</v>
      </c>
      <c r="D12" s="1" t="s">
        <v>8</v>
      </c>
      <c r="E12" s="1">
        <v>1966</v>
      </c>
      <c r="F12" s="1" t="s">
        <v>36</v>
      </c>
      <c r="G12" s="1" t="s">
        <v>25</v>
      </c>
    </row>
    <row r="13" spans="1:7" ht="15.75" x14ac:dyDescent="0.25">
      <c r="A13" s="1">
        <v>12</v>
      </c>
      <c r="B13" s="2" t="s">
        <v>41</v>
      </c>
      <c r="C13" s="2" t="s">
        <v>170</v>
      </c>
      <c r="D13" s="1" t="s">
        <v>8</v>
      </c>
      <c r="E13" s="1">
        <v>1994</v>
      </c>
      <c r="F13" s="1" t="s">
        <v>36</v>
      </c>
      <c r="G13" s="1" t="s">
        <v>25</v>
      </c>
    </row>
    <row r="14" spans="1:7" ht="15.75" x14ac:dyDescent="0.25">
      <c r="A14" s="1">
        <v>13</v>
      </c>
      <c r="B14" s="2" t="s">
        <v>42</v>
      </c>
      <c r="C14" s="2" t="str">
        <f>VLOOKUP(B14,'DS CŨ'!$B$2:$C$39,2,0)</f>
        <v>NV22</v>
      </c>
      <c r="D14" s="1" t="s">
        <v>8</v>
      </c>
      <c r="E14" s="1">
        <v>1983</v>
      </c>
      <c r="F14" s="1" t="s">
        <v>43</v>
      </c>
      <c r="G14" s="1" t="s">
        <v>15</v>
      </c>
    </row>
    <row r="15" spans="1:7" ht="15.75" x14ac:dyDescent="0.25">
      <c r="A15" s="1">
        <v>14</v>
      </c>
      <c r="B15" s="2" t="s">
        <v>45</v>
      </c>
      <c r="C15" s="2" t="str">
        <f>VLOOKUP(B15,'DS CŨ'!$B$2:$C$39,2,0)</f>
        <v>NV28</v>
      </c>
      <c r="D15" s="1" t="s">
        <v>8</v>
      </c>
      <c r="E15" s="1">
        <v>1993</v>
      </c>
      <c r="F15" s="1" t="s">
        <v>43</v>
      </c>
      <c r="G15" s="1" t="s">
        <v>46</v>
      </c>
    </row>
    <row r="16" spans="1:7" ht="15.75" x14ac:dyDescent="0.25">
      <c r="A16" s="1">
        <v>15</v>
      </c>
      <c r="B16" s="2" t="s">
        <v>47</v>
      </c>
      <c r="C16" s="2" t="str">
        <f>VLOOKUP(B16,'DS CŨ'!$B$2:$C$39,2,0)</f>
        <v>NV25</v>
      </c>
      <c r="D16" s="1" t="s">
        <v>8</v>
      </c>
      <c r="E16" s="1">
        <v>1973</v>
      </c>
      <c r="F16" s="1" t="s">
        <v>43</v>
      </c>
      <c r="G16" s="1" t="s">
        <v>48</v>
      </c>
    </row>
    <row r="17" spans="1:7" ht="15.75" x14ac:dyDescent="0.25">
      <c r="A17" s="1">
        <v>16</v>
      </c>
      <c r="B17" s="2" t="s">
        <v>49</v>
      </c>
      <c r="C17" s="2" t="str">
        <f>VLOOKUP(B17,'DS CŨ'!$B$2:$C$39,2,0)</f>
        <v>NV27</v>
      </c>
      <c r="D17" s="1" t="s">
        <v>8</v>
      </c>
      <c r="E17" s="1">
        <v>1973</v>
      </c>
      <c r="F17" s="1" t="s">
        <v>43</v>
      </c>
      <c r="G17" s="1" t="s">
        <v>48</v>
      </c>
    </row>
    <row r="18" spans="1:7" ht="15.75" x14ac:dyDescent="0.25">
      <c r="A18" s="1">
        <v>17</v>
      </c>
      <c r="B18" s="2" t="s">
        <v>50</v>
      </c>
      <c r="C18" s="2" t="str">
        <f>VLOOKUP(B18,'DS CŨ'!$B$2:$C$39,2,0)</f>
        <v>NV41</v>
      </c>
      <c r="D18" s="1" t="s">
        <v>8</v>
      </c>
      <c r="E18" s="1">
        <v>2001</v>
      </c>
      <c r="F18" s="1" t="s">
        <v>43</v>
      </c>
      <c r="G18" s="1" t="s">
        <v>48</v>
      </c>
    </row>
    <row r="19" spans="1:7" ht="15.75" x14ac:dyDescent="0.25">
      <c r="A19" s="1">
        <v>18</v>
      </c>
      <c r="B19" s="2" t="s">
        <v>51</v>
      </c>
      <c r="C19" s="2" t="str">
        <f>VLOOKUP(B19,'DS CŨ'!$B$2:$C$39,2,0)</f>
        <v>NV04</v>
      </c>
      <c r="D19" s="1" t="s">
        <v>8</v>
      </c>
      <c r="E19" s="1">
        <v>1979</v>
      </c>
      <c r="F19" s="1" t="s">
        <v>52</v>
      </c>
      <c r="G19" s="1" t="s">
        <v>53</v>
      </c>
    </row>
    <row r="20" spans="1:7" ht="15.75" x14ac:dyDescent="0.25">
      <c r="A20" s="1">
        <v>19</v>
      </c>
      <c r="B20" s="2" t="s">
        <v>54</v>
      </c>
      <c r="C20" s="2" t="str">
        <f>VLOOKUP(B20,'DS CŨ'!$B$2:$C$39,2,0)</f>
        <v>NV30</v>
      </c>
      <c r="D20" s="1" t="s">
        <v>8</v>
      </c>
      <c r="E20" s="1">
        <v>1977</v>
      </c>
      <c r="F20" s="1" t="s">
        <v>52</v>
      </c>
      <c r="G20" s="1" t="s">
        <v>55</v>
      </c>
    </row>
    <row r="21" spans="1:7" ht="15.75" x14ac:dyDescent="0.25">
      <c r="A21" s="1">
        <v>20</v>
      </c>
      <c r="B21" s="2" t="s">
        <v>56</v>
      </c>
      <c r="C21" s="2" t="str">
        <f>VLOOKUP(B21,'DS CŨ'!$B$2:$C$39,2,0)</f>
        <v>NV14</v>
      </c>
      <c r="D21" s="1" t="s">
        <v>8</v>
      </c>
      <c r="E21" s="1">
        <v>1977</v>
      </c>
      <c r="F21" s="1" t="s">
        <v>52</v>
      </c>
      <c r="G21" s="1" t="s">
        <v>55</v>
      </c>
    </row>
    <row r="22" spans="1:7" ht="15.75" x14ac:dyDescent="0.25">
      <c r="A22" s="1">
        <v>21</v>
      </c>
      <c r="B22" s="2" t="s">
        <v>57</v>
      </c>
      <c r="C22" s="2" t="str">
        <f>VLOOKUP(B22,'DS CŨ'!$B$2:$C$39,2,0)</f>
        <v>NV31</v>
      </c>
      <c r="D22" s="1" t="s">
        <v>8</v>
      </c>
      <c r="E22" s="1">
        <v>1972</v>
      </c>
      <c r="F22" s="1" t="s">
        <v>52</v>
      </c>
      <c r="G22" s="1" t="s">
        <v>46</v>
      </c>
    </row>
    <row r="23" spans="1:7" ht="15.75" x14ac:dyDescent="0.25">
      <c r="A23" s="1">
        <v>22</v>
      </c>
      <c r="B23" s="2" t="s">
        <v>58</v>
      </c>
      <c r="C23" s="2" t="str">
        <f>VLOOKUP(B23,'DS CŨ'!$B$2:$C$39,2,0)</f>
        <v>NV35</v>
      </c>
      <c r="D23" s="1" t="s">
        <v>8</v>
      </c>
      <c r="E23" s="1">
        <v>1971</v>
      </c>
      <c r="F23" s="1" t="s">
        <v>52</v>
      </c>
      <c r="G23" s="1" t="s">
        <v>48</v>
      </c>
    </row>
    <row r="24" spans="1:7" ht="15.75" x14ac:dyDescent="0.25">
      <c r="A24" s="1">
        <v>23</v>
      </c>
      <c r="B24" s="2" t="s">
        <v>61</v>
      </c>
      <c r="C24" s="2" t="str">
        <f>VLOOKUP(B24,'DS CŨ'!$B$2:$C$39,2,0)</f>
        <v>NV32</v>
      </c>
      <c r="D24" s="1" t="s">
        <v>8</v>
      </c>
      <c r="E24" s="1">
        <v>1968</v>
      </c>
      <c r="F24" s="1" t="s">
        <v>52</v>
      </c>
      <c r="G24" s="1" t="s">
        <v>21</v>
      </c>
    </row>
    <row r="25" spans="1:7" ht="15.75" x14ac:dyDescent="0.25">
      <c r="A25" s="1">
        <v>24</v>
      </c>
      <c r="B25" s="2" t="s">
        <v>62</v>
      </c>
      <c r="C25" s="2" t="str">
        <f>VLOOKUP(B25,'DS CŨ'!$B$2:$C$39,2,0)</f>
        <v>NV39</v>
      </c>
      <c r="D25" s="1" t="s">
        <v>8</v>
      </c>
      <c r="E25" s="1">
        <v>1993</v>
      </c>
      <c r="F25" s="1" t="s">
        <v>52</v>
      </c>
      <c r="G25" s="1" t="s">
        <v>21</v>
      </c>
    </row>
    <row r="26" spans="1:7" ht="15.75" x14ac:dyDescent="0.25">
      <c r="A26" s="1">
        <v>25</v>
      </c>
      <c r="B26" s="2" t="s">
        <v>63</v>
      </c>
      <c r="C26" s="2" t="str">
        <f>VLOOKUP(B26,'DS CŨ'!$B$2:$C$39,2,0)</f>
        <v>NV37</v>
      </c>
      <c r="D26" s="1" t="s">
        <v>8</v>
      </c>
      <c r="E26" s="1">
        <v>1987</v>
      </c>
      <c r="F26" s="1" t="s">
        <v>52</v>
      </c>
      <c r="G26" s="1" t="s">
        <v>48</v>
      </c>
    </row>
    <row r="27" spans="1:7" ht="15.75" x14ac:dyDescent="0.25">
      <c r="A27" s="1">
        <v>26</v>
      </c>
      <c r="B27" s="2" t="s">
        <v>64</v>
      </c>
      <c r="C27" s="2" t="str">
        <f>VLOOKUP(B27,'DS CŨ'!$B$2:$C$39,2,0)</f>
        <v>NV40</v>
      </c>
      <c r="D27" s="1" t="s">
        <v>8</v>
      </c>
      <c r="E27" s="1">
        <v>1977</v>
      </c>
      <c r="F27" s="1" t="s">
        <v>52</v>
      </c>
      <c r="G27" s="1" t="s">
        <v>48</v>
      </c>
    </row>
    <row r="28" spans="1:7" ht="15.75" x14ac:dyDescent="0.25">
      <c r="A28" s="1">
        <v>27</v>
      </c>
      <c r="B28" s="2" t="s">
        <v>65</v>
      </c>
      <c r="C28" s="2" t="str">
        <f>VLOOKUP(B28,'DS CŨ'!$B$2:$C$39,2,0)</f>
        <v>NV42</v>
      </c>
      <c r="D28" s="1" t="s">
        <v>8</v>
      </c>
      <c r="E28" s="1">
        <v>1999</v>
      </c>
      <c r="F28" s="1" t="s">
        <v>52</v>
      </c>
      <c r="G28" s="1" t="s">
        <v>48</v>
      </c>
    </row>
    <row r="29" spans="1:7" ht="15.75" x14ac:dyDescent="0.25">
      <c r="A29" s="1">
        <v>28</v>
      </c>
      <c r="B29" s="2" t="s">
        <v>66</v>
      </c>
      <c r="C29" s="2" t="s">
        <v>171</v>
      </c>
      <c r="D29" s="1" t="s">
        <v>8</v>
      </c>
      <c r="E29" s="1">
        <v>2001</v>
      </c>
      <c r="F29" s="1" t="s">
        <v>52</v>
      </c>
      <c r="G29" s="1" t="s">
        <v>48</v>
      </c>
    </row>
    <row r="30" spans="1:7" ht="15.75" x14ac:dyDescent="0.25">
      <c r="A30" s="1">
        <v>29</v>
      </c>
      <c r="B30" s="2" t="s">
        <v>9</v>
      </c>
      <c r="C30" s="2" t="str">
        <f>VLOOKUP(B30,'DS CŨ'!$B$2:$C$39,2,0)</f>
        <v>NV02</v>
      </c>
      <c r="D30" s="1" t="s">
        <v>11</v>
      </c>
      <c r="E30" s="1">
        <v>1974</v>
      </c>
      <c r="F30" s="1" t="s">
        <v>6</v>
      </c>
      <c r="G30" s="1" t="s">
        <v>10</v>
      </c>
    </row>
    <row r="31" spans="1:7" ht="15.75" x14ac:dyDescent="0.25">
      <c r="A31" s="1">
        <v>30</v>
      </c>
      <c r="B31" s="2" t="s">
        <v>16</v>
      </c>
      <c r="C31" s="2" t="str">
        <f>VLOOKUP(B31,'DS CŨ'!$B$2:$C$39,2,0)</f>
        <v>NV09</v>
      </c>
      <c r="D31" s="1" t="s">
        <v>11</v>
      </c>
      <c r="E31" s="1">
        <v>1976</v>
      </c>
      <c r="F31" s="1" t="s">
        <v>14</v>
      </c>
      <c r="G31" s="1" t="s">
        <v>17</v>
      </c>
    </row>
    <row r="32" spans="1:7" ht="15.75" x14ac:dyDescent="0.25">
      <c r="A32" s="1">
        <v>31</v>
      </c>
      <c r="B32" s="2" t="s">
        <v>18</v>
      </c>
      <c r="C32" s="2" t="str">
        <f>VLOOKUP(B32,'DS CŨ'!$B$2:$C$39,2,0)</f>
        <v>NV43</v>
      </c>
      <c r="D32" s="1" t="s">
        <v>11</v>
      </c>
      <c r="E32" s="1">
        <v>1996</v>
      </c>
      <c r="F32" s="1" t="s">
        <v>14</v>
      </c>
      <c r="G32" s="1" t="s">
        <v>19</v>
      </c>
    </row>
    <row r="33" spans="1:7" ht="15.75" x14ac:dyDescent="0.25">
      <c r="A33" s="1">
        <v>32</v>
      </c>
      <c r="B33" s="2" t="s">
        <v>26</v>
      </c>
      <c r="C33" s="2" t="str">
        <f>VLOOKUP(B33,'DS CŨ'!$B$2:$C$39,2,0)</f>
        <v>NV17</v>
      </c>
      <c r="D33" s="1" t="s">
        <v>11</v>
      </c>
      <c r="E33" s="1">
        <v>1988</v>
      </c>
      <c r="F33" s="1" t="s">
        <v>23</v>
      </c>
      <c r="G33" s="1" t="s">
        <v>25</v>
      </c>
    </row>
    <row r="34" spans="1:7" ht="15.75" x14ac:dyDescent="0.25">
      <c r="A34" s="1">
        <v>33</v>
      </c>
      <c r="B34" s="2" t="s">
        <v>30</v>
      </c>
      <c r="C34" s="2" t="str">
        <f>VLOOKUP(B34,'DS CŨ'!$B$2:$C$39,2,0)</f>
        <v>NV07</v>
      </c>
      <c r="D34" s="1" t="s">
        <v>11</v>
      </c>
      <c r="E34" s="1">
        <v>1975</v>
      </c>
      <c r="F34" s="1" t="s">
        <v>31</v>
      </c>
      <c r="G34" s="1" t="s">
        <v>15</v>
      </c>
    </row>
    <row r="35" spans="1:7" ht="15.75" x14ac:dyDescent="0.25">
      <c r="A35" s="1">
        <v>34</v>
      </c>
      <c r="B35" s="2" t="s">
        <v>32</v>
      </c>
      <c r="C35" s="2" t="str">
        <f>VLOOKUP(B35,'DS CŨ'!$B$2:$C$39,2,0)</f>
        <v>NV08</v>
      </c>
      <c r="D35" s="1" t="s">
        <v>11</v>
      </c>
      <c r="E35" s="1">
        <v>1987</v>
      </c>
      <c r="F35" s="1" t="s">
        <v>31</v>
      </c>
      <c r="G35" s="1" t="s">
        <v>17</v>
      </c>
    </row>
    <row r="36" spans="1:7" ht="15.75" x14ac:dyDescent="0.25">
      <c r="A36" s="1">
        <v>35</v>
      </c>
      <c r="B36" s="2" t="s">
        <v>33</v>
      </c>
      <c r="C36" s="2" t="str">
        <f>VLOOKUP(B36,'DS CŨ'!$B$2:$C$39,2,0)</f>
        <v>NV10</v>
      </c>
      <c r="D36" s="1" t="s">
        <v>11</v>
      </c>
      <c r="E36" s="1">
        <v>1988</v>
      </c>
      <c r="F36" s="1" t="s">
        <v>31</v>
      </c>
      <c r="G36" s="1" t="s">
        <v>25</v>
      </c>
    </row>
    <row r="37" spans="1:7" ht="15.75" x14ac:dyDescent="0.25">
      <c r="A37" s="1">
        <v>36</v>
      </c>
      <c r="B37" s="2" t="s">
        <v>34</v>
      </c>
      <c r="C37" s="2" t="str">
        <f>VLOOKUP(B37,'DS CŨ'!$B$2:$C$39,2,0)</f>
        <v>NV12</v>
      </c>
      <c r="D37" s="1" t="s">
        <v>11</v>
      </c>
      <c r="E37" s="1">
        <v>1989</v>
      </c>
      <c r="F37" s="1" t="s">
        <v>31</v>
      </c>
      <c r="G37" s="1" t="s">
        <v>25</v>
      </c>
    </row>
    <row r="38" spans="1:7" ht="15.75" x14ac:dyDescent="0.25">
      <c r="A38" s="1">
        <v>37</v>
      </c>
      <c r="B38" s="2" t="s">
        <v>37</v>
      </c>
      <c r="C38" s="2" t="str">
        <f>VLOOKUP(B38,'DS CŨ'!$B$2:$C$39,2,0)</f>
        <v>NV16</v>
      </c>
      <c r="D38" s="1" t="s">
        <v>11</v>
      </c>
      <c r="E38" s="1">
        <v>1984</v>
      </c>
      <c r="F38" s="1" t="s">
        <v>23</v>
      </c>
      <c r="G38" s="1" t="s">
        <v>38</v>
      </c>
    </row>
    <row r="39" spans="1:7" ht="15.75" x14ac:dyDescent="0.25">
      <c r="A39" s="1">
        <v>38</v>
      </c>
      <c r="B39" s="2" t="s">
        <v>44</v>
      </c>
      <c r="C39" s="2" t="str">
        <f>VLOOKUP(B39,'DS CŨ'!$B$2:$C$39,2,0)</f>
        <v>NV23</v>
      </c>
      <c r="D39" s="1" t="s">
        <v>11</v>
      </c>
      <c r="E39" s="1">
        <v>1975</v>
      </c>
      <c r="F39" s="1" t="s">
        <v>43</v>
      </c>
      <c r="G39" s="1" t="s">
        <v>25</v>
      </c>
    </row>
    <row r="40" spans="1:7" ht="15.75" x14ac:dyDescent="0.25">
      <c r="A40" s="1">
        <v>39</v>
      </c>
      <c r="B40" s="2" t="s">
        <v>59</v>
      </c>
      <c r="C40" s="2" t="str">
        <f>VLOOKUP(B40,'DS CŨ'!$B$2:$C$39,2,0)</f>
        <v>NV34</v>
      </c>
      <c r="D40" s="1" t="s">
        <v>11</v>
      </c>
      <c r="E40" s="1">
        <v>1974</v>
      </c>
      <c r="F40" s="1" t="s">
        <v>52</v>
      </c>
      <c r="G40" s="1" t="s">
        <v>60</v>
      </c>
    </row>
  </sheetData>
  <autoFilter ref="A1:G40" xr:uid="{919FC587-F844-4FA3-8344-E21A9C02D18B}"/>
  <pageMargins left="0.7" right="0.7" top="0.75" bottom="0.75" header="0.3" footer="0.3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13CD-0E27-4F41-A774-BFE97D446567}">
  <dimension ref="A1:G39"/>
  <sheetViews>
    <sheetView workbookViewId="0">
      <selection activeCell="F4" sqref="F4"/>
    </sheetView>
  </sheetViews>
  <sheetFormatPr defaultRowHeight="15" x14ac:dyDescent="0.25"/>
  <cols>
    <col min="1" max="1" width="4" bestFit="1" customWidth="1"/>
    <col min="2" max="2" width="20" bestFit="1" customWidth="1"/>
    <col min="3" max="3" width="6.140625" bestFit="1" customWidth="1"/>
    <col min="4" max="4" width="10" bestFit="1" customWidth="1"/>
    <col min="5" max="5" width="5.42578125" bestFit="1" customWidth="1"/>
    <col min="6" max="6" width="6.28515625" bestFit="1" customWidth="1"/>
    <col min="7" max="7" width="5.140625" bestFit="1" customWidth="1"/>
  </cols>
  <sheetData>
    <row r="1" spans="1:7" x14ac:dyDescent="0.25">
      <c r="A1" t="s">
        <v>123</v>
      </c>
      <c r="B1" t="s">
        <v>125</v>
      </c>
      <c r="C1" t="s">
        <v>124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25">
      <c r="A2">
        <v>1</v>
      </c>
      <c r="B2" t="s">
        <v>5</v>
      </c>
      <c r="C2" t="s">
        <v>130</v>
      </c>
      <c r="D2">
        <v>1</v>
      </c>
      <c r="G2">
        <v>1971</v>
      </c>
    </row>
    <row r="3" spans="1:7" x14ac:dyDescent="0.25">
      <c r="A3">
        <v>2</v>
      </c>
      <c r="B3" t="s">
        <v>9</v>
      </c>
      <c r="C3" t="s">
        <v>131</v>
      </c>
      <c r="D3">
        <v>2</v>
      </c>
      <c r="G3">
        <v>1974</v>
      </c>
    </row>
    <row r="4" spans="1:7" x14ac:dyDescent="0.25">
      <c r="A4">
        <v>3</v>
      </c>
      <c r="B4" t="s">
        <v>12</v>
      </c>
      <c r="C4" t="s">
        <v>132</v>
      </c>
      <c r="D4">
        <v>3</v>
      </c>
      <c r="G4">
        <v>1983</v>
      </c>
    </row>
    <row r="5" spans="1:7" x14ac:dyDescent="0.25">
      <c r="A5">
        <v>4</v>
      </c>
      <c r="B5" t="s">
        <v>13</v>
      </c>
      <c r="C5" t="s">
        <v>133</v>
      </c>
      <c r="D5">
        <v>4</v>
      </c>
      <c r="G5">
        <v>1972</v>
      </c>
    </row>
    <row r="6" spans="1:7" x14ac:dyDescent="0.25">
      <c r="A6">
        <v>5</v>
      </c>
      <c r="B6" t="s">
        <v>16</v>
      </c>
      <c r="C6" t="s">
        <v>134</v>
      </c>
      <c r="D6">
        <v>5</v>
      </c>
      <c r="G6">
        <v>1976</v>
      </c>
    </row>
    <row r="7" spans="1:7" x14ac:dyDescent="0.25">
      <c r="A7">
        <v>6</v>
      </c>
      <c r="B7" t="s">
        <v>18</v>
      </c>
      <c r="C7" t="s">
        <v>135</v>
      </c>
      <c r="D7">
        <v>6</v>
      </c>
      <c r="G7">
        <v>1996</v>
      </c>
    </row>
    <row r="8" spans="1:7" x14ac:dyDescent="0.25">
      <c r="A8">
        <v>7</v>
      </c>
      <c r="B8" t="s">
        <v>20</v>
      </c>
      <c r="C8" t="s">
        <v>136</v>
      </c>
      <c r="D8">
        <v>7</v>
      </c>
      <c r="G8">
        <v>1972</v>
      </c>
    </row>
    <row r="9" spans="1:7" x14ac:dyDescent="0.25">
      <c r="A9">
        <v>8</v>
      </c>
      <c r="B9" t="s">
        <v>22</v>
      </c>
      <c r="C9" t="s">
        <v>137</v>
      </c>
      <c r="D9">
        <v>8</v>
      </c>
      <c r="G9">
        <v>1975</v>
      </c>
    </row>
    <row r="10" spans="1:7" x14ac:dyDescent="0.25">
      <c r="A10">
        <v>9</v>
      </c>
      <c r="B10" t="s">
        <v>56</v>
      </c>
      <c r="C10" t="s">
        <v>138</v>
      </c>
      <c r="D10">
        <v>9</v>
      </c>
      <c r="G10">
        <v>1977</v>
      </c>
    </row>
    <row r="11" spans="1:7" x14ac:dyDescent="0.25">
      <c r="A11">
        <v>10</v>
      </c>
      <c r="B11" t="s">
        <v>24</v>
      </c>
      <c r="C11" t="s">
        <v>139</v>
      </c>
      <c r="D11">
        <v>10</v>
      </c>
      <c r="G11">
        <v>1968</v>
      </c>
    </row>
    <row r="12" spans="1:7" x14ac:dyDescent="0.25">
      <c r="A12">
        <v>11</v>
      </c>
      <c r="B12" t="s">
        <v>37</v>
      </c>
      <c r="C12" t="s">
        <v>140</v>
      </c>
      <c r="D12">
        <v>11</v>
      </c>
      <c r="G12">
        <v>1984</v>
      </c>
    </row>
    <row r="13" spans="1:7" x14ac:dyDescent="0.25">
      <c r="A13">
        <v>12</v>
      </c>
      <c r="B13" t="s">
        <v>26</v>
      </c>
      <c r="C13" t="s">
        <v>141</v>
      </c>
      <c r="D13">
        <v>12</v>
      </c>
      <c r="G13">
        <v>1988</v>
      </c>
    </row>
    <row r="14" spans="1:7" x14ac:dyDescent="0.25">
      <c r="A14">
        <v>13</v>
      </c>
      <c r="B14" t="s">
        <v>30</v>
      </c>
      <c r="C14" t="s">
        <v>142</v>
      </c>
      <c r="D14">
        <v>13</v>
      </c>
      <c r="G14">
        <v>1975</v>
      </c>
    </row>
    <row r="15" spans="1:7" x14ac:dyDescent="0.25">
      <c r="A15">
        <v>14</v>
      </c>
      <c r="B15" t="s">
        <v>32</v>
      </c>
      <c r="C15" t="s">
        <v>143</v>
      </c>
      <c r="D15">
        <v>14</v>
      </c>
      <c r="G15">
        <v>1987</v>
      </c>
    </row>
    <row r="16" spans="1:7" x14ac:dyDescent="0.25">
      <c r="A16">
        <v>15</v>
      </c>
      <c r="B16" t="s">
        <v>33</v>
      </c>
      <c r="C16" t="s">
        <v>144</v>
      </c>
      <c r="D16">
        <v>15</v>
      </c>
      <c r="G16">
        <v>1988</v>
      </c>
    </row>
    <row r="17" spans="1:7" x14ac:dyDescent="0.25">
      <c r="A17">
        <v>16</v>
      </c>
      <c r="B17" t="s">
        <v>34</v>
      </c>
      <c r="C17" t="s">
        <v>145</v>
      </c>
      <c r="D17">
        <v>16</v>
      </c>
      <c r="G17">
        <v>1989</v>
      </c>
    </row>
    <row r="18" spans="1:7" x14ac:dyDescent="0.25">
      <c r="A18">
        <v>17</v>
      </c>
      <c r="B18" t="s">
        <v>35</v>
      </c>
      <c r="C18" t="s">
        <v>146</v>
      </c>
      <c r="D18">
        <v>17</v>
      </c>
      <c r="G18">
        <v>1981</v>
      </c>
    </row>
    <row r="19" spans="1:7" x14ac:dyDescent="0.25">
      <c r="A19">
        <v>18</v>
      </c>
      <c r="B19" t="s">
        <v>39</v>
      </c>
      <c r="C19" t="s">
        <v>147</v>
      </c>
      <c r="D19">
        <v>18</v>
      </c>
      <c r="G19">
        <v>1985</v>
      </c>
    </row>
    <row r="20" spans="1:7" x14ac:dyDescent="0.25">
      <c r="A20">
        <v>19</v>
      </c>
      <c r="B20" t="s">
        <v>27</v>
      </c>
      <c r="C20" t="s">
        <v>148</v>
      </c>
      <c r="D20">
        <v>19</v>
      </c>
      <c r="G20">
        <v>1979</v>
      </c>
    </row>
    <row r="21" spans="1:7" x14ac:dyDescent="0.25">
      <c r="A21">
        <v>20</v>
      </c>
      <c r="B21" t="s">
        <v>40</v>
      </c>
      <c r="C21" t="s">
        <v>149</v>
      </c>
      <c r="D21">
        <v>20</v>
      </c>
      <c r="G21">
        <v>1966</v>
      </c>
    </row>
    <row r="22" spans="1:7" x14ac:dyDescent="0.25">
      <c r="A22">
        <v>21</v>
      </c>
      <c r="B22" t="s">
        <v>42</v>
      </c>
      <c r="C22" t="s">
        <v>150</v>
      </c>
      <c r="D22">
        <v>21</v>
      </c>
      <c r="G22">
        <v>1983</v>
      </c>
    </row>
    <row r="23" spans="1:7" x14ac:dyDescent="0.25">
      <c r="A23">
        <v>22</v>
      </c>
      <c r="B23" t="s">
        <v>44</v>
      </c>
      <c r="C23" t="s">
        <v>151</v>
      </c>
      <c r="D23">
        <v>22</v>
      </c>
      <c r="G23">
        <v>1975</v>
      </c>
    </row>
    <row r="24" spans="1:7" x14ac:dyDescent="0.25">
      <c r="A24">
        <v>23</v>
      </c>
      <c r="B24" t="s">
        <v>45</v>
      </c>
      <c r="C24" t="s">
        <v>152</v>
      </c>
      <c r="D24">
        <v>23</v>
      </c>
      <c r="G24">
        <v>1993</v>
      </c>
    </row>
    <row r="25" spans="1:7" x14ac:dyDescent="0.25">
      <c r="A25">
        <v>24</v>
      </c>
      <c r="B25" t="s">
        <v>47</v>
      </c>
      <c r="C25" t="s">
        <v>153</v>
      </c>
      <c r="D25">
        <v>24</v>
      </c>
      <c r="G25">
        <v>1973</v>
      </c>
    </row>
    <row r="26" spans="1:7" x14ac:dyDescent="0.25">
      <c r="A26">
        <v>25</v>
      </c>
      <c r="B26" t="s">
        <v>49</v>
      </c>
      <c r="C26" t="s">
        <v>154</v>
      </c>
      <c r="D26">
        <v>25</v>
      </c>
      <c r="G26">
        <v>1973</v>
      </c>
    </row>
    <row r="27" spans="1:7" x14ac:dyDescent="0.25">
      <c r="A27">
        <v>26</v>
      </c>
      <c r="B27" t="s">
        <v>50</v>
      </c>
      <c r="C27" t="s">
        <v>155</v>
      </c>
      <c r="D27">
        <v>26</v>
      </c>
      <c r="G27">
        <v>2001</v>
      </c>
    </row>
    <row r="28" spans="1:7" x14ac:dyDescent="0.25">
      <c r="A28">
        <v>27</v>
      </c>
      <c r="B28" t="s">
        <v>51</v>
      </c>
      <c r="C28" t="s">
        <v>156</v>
      </c>
      <c r="D28">
        <v>27</v>
      </c>
      <c r="G28">
        <v>1979</v>
      </c>
    </row>
    <row r="29" spans="1:7" x14ac:dyDescent="0.25">
      <c r="A29">
        <v>28</v>
      </c>
      <c r="B29" t="s">
        <v>54</v>
      </c>
      <c r="C29" t="s">
        <v>157</v>
      </c>
      <c r="D29">
        <v>28</v>
      </c>
      <c r="G29">
        <v>1977</v>
      </c>
    </row>
    <row r="30" spans="1:7" x14ac:dyDescent="0.25">
      <c r="A30">
        <v>29</v>
      </c>
      <c r="B30" t="s">
        <v>57</v>
      </c>
      <c r="C30" t="s">
        <v>158</v>
      </c>
      <c r="D30">
        <v>29</v>
      </c>
      <c r="G30">
        <v>1972</v>
      </c>
    </row>
    <row r="31" spans="1:7" x14ac:dyDescent="0.25">
      <c r="A31">
        <v>30</v>
      </c>
      <c r="B31" t="s">
        <v>29</v>
      </c>
      <c r="C31" t="s">
        <v>159</v>
      </c>
      <c r="D31">
        <v>30</v>
      </c>
      <c r="G31">
        <v>1995</v>
      </c>
    </row>
    <row r="32" spans="1:7" x14ac:dyDescent="0.25">
      <c r="A32">
        <v>31</v>
      </c>
      <c r="B32" t="s">
        <v>59</v>
      </c>
      <c r="C32" t="s">
        <v>160</v>
      </c>
      <c r="D32">
        <v>31</v>
      </c>
      <c r="G32">
        <v>1974</v>
      </c>
    </row>
    <row r="33" spans="1:7" x14ac:dyDescent="0.25">
      <c r="A33">
        <v>32</v>
      </c>
      <c r="B33" t="s">
        <v>61</v>
      </c>
      <c r="C33" t="s">
        <v>161</v>
      </c>
      <c r="D33">
        <v>32</v>
      </c>
      <c r="G33">
        <v>1968</v>
      </c>
    </row>
    <row r="34" spans="1:7" x14ac:dyDescent="0.25">
      <c r="A34">
        <v>33</v>
      </c>
      <c r="B34" t="s">
        <v>62</v>
      </c>
      <c r="C34" t="s">
        <v>162</v>
      </c>
      <c r="D34">
        <v>33</v>
      </c>
      <c r="G34">
        <v>1993</v>
      </c>
    </row>
    <row r="35" spans="1:7" x14ac:dyDescent="0.25">
      <c r="A35">
        <v>34</v>
      </c>
      <c r="B35" t="s">
        <v>58</v>
      </c>
      <c r="C35" t="s">
        <v>163</v>
      </c>
      <c r="D35">
        <v>34</v>
      </c>
      <c r="G35">
        <v>1971</v>
      </c>
    </row>
    <row r="36" spans="1:7" x14ac:dyDescent="0.25">
      <c r="A36">
        <v>35</v>
      </c>
      <c r="B36" t="s">
        <v>65</v>
      </c>
      <c r="C36" t="s">
        <v>164</v>
      </c>
      <c r="D36">
        <v>35</v>
      </c>
      <c r="G36">
        <v>1999</v>
      </c>
    </row>
    <row r="37" spans="1:7" x14ac:dyDescent="0.25">
      <c r="A37">
        <v>36</v>
      </c>
      <c r="B37" t="s">
        <v>63</v>
      </c>
      <c r="C37" t="s">
        <v>165</v>
      </c>
      <c r="D37">
        <v>36</v>
      </c>
      <c r="G37">
        <v>1987</v>
      </c>
    </row>
    <row r="38" spans="1:7" x14ac:dyDescent="0.25">
      <c r="A38">
        <v>37</v>
      </c>
      <c r="B38" t="s">
        <v>64</v>
      </c>
      <c r="C38" t="s">
        <v>166</v>
      </c>
      <c r="D38">
        <v>37</v>
      </c>
      <c r="G38">
        <v>1977</v>
      </c>
    </row>
    <row r="39" spans="1:7" x14ac:dyDescent="0.25">
      <c r="A39">
        <v>38</v>
      </c>
      <c r="B39" t="s">
        <v>168</v>
      </c>
      <c r="C39" t="s">
        <v>167</v>
      </c>
      <c r="D39">
        <v>38</v>
      </c>
      <c r="G39">
        <v>1963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52B9-70EA-4674-8342-83C5849E4D5A}">
  <dimension ref="A1:E28"/>
  <sheetViews>
    <sheetView topLeftCell="A4" zoomScale="70" zoomScaleNormal="70" workbookViewId="0">
      <selection activeCell="C13" sqref="C13"/>
    </sheetView>
  </sheetViews>
  <sheetFormatPr defaultRowHeight="15" x14ac:dyDescent="0.25"/>
  <cols>
    <col min="1" max="1" width="4.28515625" bestFit="1" customWidth="1"/>
    <col min="2" max="2" width="15.140625" customWidth="1"/>
    <col min="3" max="3" width="69.28515625" customWidth="1"/>
    <col min="4" max="4" width="49.7109375" bestFit="1" customWidth="1"/>
    <col min="5" max="5" width="25.85546875" customWidth="1"/>
  </cols>
  <sheetData>
    <row r="1" spans="1:5" x14ac:dyDescent="0.25">
      <c r="A1" s="31" t="s">
        <v>67</v>
      </c>
      <c r="B1" s="31" t="s">
        <v>68</v>
      </c>
      <c r="C1" s="31"/>
      <c r="D1" s="31" t="s">
        <v>69</v>
      </c>
      <c r="E1" s="28" t="s">
        <v>122</v>
      </c>
    </row>
    <row r="2" spans="1:5" x14ac:dyDescent="0.25">
      <c r="A2" s="31"/>
      <c r="B2" s="31"/>
      <c r="C2" s="31"/>
      <c r="D2" s="31"/>
      <c r="E2" s="28"/>
    </row>
    <row r="3" spans="1:5" ht="49.5" x14ac:dyDescent="0.25">
      <c r="A3" s="32">
        <v>1</v>
      </c>
      <c r="B3" s="29" t="s">
        <v>70</v>
      </c>
      <c r="C3" s="32" t="s">
        <v>71</v>
      </c>
      <c r="D3" s="6" t="s">
        <v>72</v>
      </c>
      <c r="E3" s="33">
        <v>39</v>
      </c>
    </row>
    <row r="4" spans="1:5" ht="16.5" x14ac:dyDescent="0.25">
      <c r="A4" s="32"/>
      <c r="B4" s="29"/>
      <c r="C4" s="32"/>
      <c r="D4" s="6" t="s">
        <v>73</v>
      </c>
      <c r="E4" s="33"/>
    </row>
    <row r="5" spans="1:5" ht="33" x14ac:dyDescent="0.25">
      <c r="A5" s="32"/>
      <c r="B5" s="29"/>
      <c r="C5" s="32"/>
      <c r="D5" s="6" t="s">
        <v>74</v>
      </c>
      <c r="E5" s="33"/>
    </row>
    <row r="6" spans="1:5" ht="33" x14ac:dyDescent="0.25">
      <c r="A6" s="32"/>
      <c r="B6" s="29"/>
      <c r="C6" s="32"/>
      <c r="D6" s="6" t="s">
        <v>75</v>
      </c>
      <c r="E6" s="33"/>
    </row>
    <row r="7" spans="1:5" ht="16.5" x14ac:dyDescent="0.25">
      <c r="A7" s="32"/>
      <c r="B7" s="29"/>
      <c r="C7" s="32"/>
      <c r="D7" s="6" t="s">
        <v>76</v>
      </c>
      <c r="E7" s="33"/>
    </row>
    <row r="8" spans="1:5" ht="33" x14ac:dyDescent="0.25">
      <c r="A8" s="4">
        <v>2</v>
      </c>
      <c r="B8" s="29" t="s">
        <v>77</v>
      </c>
      <c r="C8" s="10" t="s">
        <v>78</v>
      </c>
      <c r="D8" s="6" t="s">
        <v>79</v>
      </c>
      <c r="E8" s="9">
        <v>39</v>
      </c>
    </row>
    <row r="9" spans="1:5" ht="49.5" x14ac:dyDescent="0.25">
      <c r="A9" s="4">
        <v>3</v>
      </c>
      <c r="B9" s="29"/>
      <c r="C9" s="10" t="s">
        <v>80</v>
      </c>
      <c r="D9" s="6" t="s">
        <v>81</v>
      </c>
      <c r="E9" s="9">
        <v>39</v>
      </c>
    </row>
    <row r="10" spans="1:5" ht="33" x14ac:dyDescent="0.25">
      <c r="A10" s="4">
        <v>4</v>
      </c>
      <c r="B10" s="29"/>
      <c r="C10" s="10" t="s">
        <v>82</v>
      </c>
      <c r="D10" s="6" t="s">
        <v>83</v>
      </c>
      <c r="E10" s="9">
        <v>39</v>
      </c>
    </row>
    <row r="11" spans="1:5" ht="33" x14ac:dyDescent="0.25">
      <c r="A11" s="4">
        <v>5</v>
      </c>
      <c r="B11" s="29"/>
      <c r="C11" s="10" t="s">
        <v>84</v>
      </c>
      <c r="D11" s="6" t="s">
        <v>85</v>
      </c>
      <c r="E11" s="9">
        <v>39</v>
      </c>
    </row>
    <row r="12" spans="1:5" ht="49.5" x14ac:dyDescent="0.25">
      <c r="A12" s="4">
        <v>6</v>
      </c>
      <c r="B12" s="5" t="s">
        <v>86</v>
      </c>
      <c r="C12" s="10" t="s">
        <v>87</v>
      </c>
      <c r="D12" s="6" t="s">
        <v>88</v>
      </c>
      <c r="E12" s="9">
        <v>39</v>
      </c>
    </row>
    <row r="13" spans="1:5" ht="49.5" x14ac:dyDescent="0.25">
      <c r="A13" s="4">
        <v>7</v>
      </c>
      <c r="B13" s="5" t="s">
        <v>89</v>
      </c>
      <c r="C13" s="10" t="s">
        <v>90</v>
      </c>
      <c r="D13" s="6" t="s">
        <v>91</v>
      </c>
      <c r="E13" s="9">
        <v>39</v>
      </c>
    </row>
    <row r="14" spans="1:5" ht="33" x14ac:dyDescent="0.25">
      <c r="A14" s="4">
        <v>8</v>
      </c>
      <c r="B14" s="5" t="s">
        <v>92</v>
      </c>
      <c r="C14" s="10" t="s">
        <v>93</v>
      </c>
      <c r="D14" s="6" t="s">
        <v>94</v>
      </c>
      <c r="E14" s="9">
        <v>39</v>
      </c>
    </row>
    <row r="15" spans="1:5" ht="16.5" x14ac:dyDescent="0.25">
      <c r="A15" s="4">
        <v>9</v>
      </c>
      <c r="B15" s="29" t="s">
        <v>95</v>
      </c>
      <c r="C15" s="11" t="s">
        <v>96</v>
      </c>
      <c r="D15" s="12" t="s">
        <v>97</v>
      </c>
      <c r="E15" s="9">
        <v>39</v>
      </c>
    </row>
    <row r="16" spans="1:5" ht="16.5" x14ac:dyDescent="0.25">
      <c r="A16" s="4">
        <v>10</v>
      </c>
      <c r="B16" s="29"/>
      <c r="C16" s="11" t="s">
        <v>98</v>
      </c>
      <c r="D16" s="12" t="s">
        <v>97</v>
      </c>
      <c r="E16" s="9">
        <v>39</v>
      </c>
    </row>
    <row r="17" spans="1:5" ht="49.5" x14ac:dyDescent="0.25">
      <c r="A17" s="4">
        <v>11</v>
      </c>
      <c r="B17" s="5" t="s">
        <v>99</v>
      </c>
      <c r="C17" s="10" t="s">
        <v>100</v>
      </c>
      <c r="D17" s="6" t="s">
        <v>101</v>
      </c>
      <c r="E17" s="9">
        <v>39</v>
      </c>
    </row>
    <row r="18" spans="1:5" ht="16.5" x14ac:dyDescent="0.25">
      <c r="A18" s="4">
        <v>12</v>
      </c>
      <c r="B18" s="29" t="s">
        <v>102</v>
      </c>
      <c r="C18" s="11" t="s">
        <v>103</v>
      </c>
      <c r="D18" s="6" t="s">
        <v>104</v>
      </c>
      <c r="E18" s="9">
        <v>39</v>
      </c>
    </row>
    <row r="19" spans="1:5" ht="16.5" x14ac:dyDescent="0.25">
      <c r="A19" s="4">
        <v>13</v>
      </c>
      <c r="B19" s="29"/>
      <c r="C19" s="11" t="s">
        <v>105</v>
      </c>
      <c r="D19" s="6" t="s">
        <v>106</v>
      </c>
      <c r="E19" s="9">
        <v>39</v>
      </c>
    </row>
    <row r="20" spans="1:5" ht="33" x14ac:dyDescent="0.25">
      <c r="A20" s="4">
        <v>14</v>
      </c>
      <c r="B20" s="5" t="s">
        <v>107</v>
      </c>
      <c r="C20" s="10" t="s">
        <v>108</v>
      </c>
      <c r="D20" s="6" t="s">
        <v>109</v>
      </c>
      <c r="E20" s="9">
        <v>39</v>
      </c>
    </row>
    <row r="21" spans="1:5" ht="16.5" x14ac:dyDescent="0.25">
      <c r="A21" s="4">
        <v>15</v>
      </c>
      <c r="B21" s="29" t="s">
        <v>110</v>
      </c>
      <c r="C21" s="16" t="s">
        <v>111</v>
      </c>
      <c r="D21" s="17"/>
      <c r="E21" s="22">
        <v>11</v>
      </c>
    </row>
    <row r="22" spans="1:5" ht="16.5" x14ac:dyDescent="0.25">
      <c r="A22" s="4">
        <v>16</v>
      </c>
      <c r="B22" s="29"/>
      <c r="C22" s="16" t="s">
        <v>112</v>
      </c>
      <c r="D22" s="17"/>
      <c r="E22" s="22">
        <v>11</v>
      </c>
    </row>
    <row r="23" spans="1:5" ht="17.25" x14ac:dyDescent="0.25">
      <c r="A23" s="4">
        <v>17</v>
      </c>
      <c r="B23" s="7"/>
      <c r="C23" s="16" t="s">
        <v>113</v>
      </c>
      <c r="D23" s="17" t="s">
        <v>114</v>
      </c>
      <c r="E23" s="18">
        <v>39</v>
      </c>
    </row>
    <row r="24" spans="1:5" ht="17.25" x14ac:dyDescent="0.25">
      <c r="A24" s="4">
        <v>18</v>
      </c>
      <c r="B24" s="7"/>
      <c r="C24" s="19" t="s">
        <v>115</v>
      </c>
      <c r="D24" s="20"/>
      <c r="E24" s="21">
        <v>39</v>
      </c>
    </row>
    <row r="25" spans="1:5" ht="20.25" x14ac:dyDescent="0.25">
      <c r="A25" s="30" t="s">
        <v>116</v>
      </c>
      <c r="B25" s="30"/>
      <c r="C25" s="30"/>
      <c r="D25" s="30"/>
      <c r="E25" s="13"/>
    </row>
    <row r="26" spans="1:5" ht="34.5" customHeight="1" x14ac:dyDescent="0.25">
      <c r="A26" s="14">
        <v>1</v>
      </c>
      <c r="B26" s="27" t="s">
        <v>117</v>
      </c>
      <c r="C26" s="27"/>
      <c r="D26" s="8" t="s">
        <v>73</v>
      </c>
      <c r="E26" s="23">
        <v>3</v>
      </c>
    </row>
    <row r="27" spans="1:5" ht="16.5" x14ac:dyDescent="0.25">
      <c r="A27" s="14">
        <v>2</v>
      </c>
      <c r="B27" s="27" t="s">
        <v>118</v>
      </c>
      <c r="C27" s="27"/>
      <c r="D27" s="15" t="s">
        <v>119</v>
      </c>
      <c r="E27" s="24">
        <v>3</v>
      </c>
    </row>
    <row r="28" spans="1:5" ht="16.5" x14ac:dyDescent="0.25">
      <c r="A28" s="14">
        <v>3</v>
      </c>
      <c r="B28" s="27" t="s">
        <v>120</v>
      </c>
      <c r="C28" s="27"/>
      <c r="D28" s="15" t="s">
        <v>121</v>
      </c>
      <c r="E28" s="24">
        <v>3</v>
      </c>
    </row>
  </sheetData>
  <mergeCells count="16">
    <mergeCell ref="B26:C26"/>
    <mergeCell ref="B27:C27"/>
    <mergeCell ref="B28:C28"/>
    <mergeCell ref="E1:E2"/>
    <mergeCell ref="B8:B11"/>
    <mergeCell ref="B15:B16"/>
    <mergeCell ref="B18:B19"/>
    <mergeCell ref="B21:B22"/>
    <mergeCell ref="A25:D25"/>
    <mergeCell ref="A1:A2"/>
    <mergeCell ref="B1:C2"/>
    <mergeCell ref="D1:D2"/>
    <mergeCell ref="A3:A7"/>
    <mergeCell ref="B3:B7"/>
    <mergeCell ref="C3:C7"/>
    <mergeCell ref="E3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0B60-5154-46F3-AEDD-652CE18C3DFF}">
  <dimension ref="A1:F7"/>
  <sheetViews>
    <sheetView workbookViewId="0">
      <selection activeCell="F1" sqref="A1:F7"/>
    </sheetView>
  </sheetViews>
  <sheetFormatPr defaultRowHeight="15" x14ac:dyDescent="0.25"/>
  <cols>
    <col min="1" max="1" width="5.140625" bestFit="1" customWidth="1"/>
    <col min="2" max="2" width="20.28515625" bestFit="1" customWidth="1"/>
    <col min="3" max="3" width="9.28515625" bestFit="1" customWidth="1"/>
    <col min="4" max="4" width="10" bestFit="1" customWidth="1"/>
    <col min="5" max="5" width="34.5703125" bestFit="1" customWidth="1"/>
    <col min="6" max="6" width="16.85546875" bestFit="1" customWidth="1"/>
  </cols>
  <sheetData>
    <row r="1" spans="1:6" ht="15.75" x14ac:dyDescent="0.25">
      <c r="A1" s="3" t="s">
        <v>123</v>
      </c>
      <c r="B1" s="3" t="s">
        <v>0</v>
      </c>
      <c r="C1" s="3" t="s">
        <v>4</v>
      </c>
      <c r="D1" s="3" t="s">
        <v>3</v>
      </c>
      <c r="E1" s="3" t="s">
        <v>1</v>
      </c>
      <c r="F1" s="3" t="s">
        <v>2</v>
      </c>
    </row>
    <row r="2" spans="1:6" ht="15.75" x14ac:dyDescent="0.25">
      <c r="A2" s="25">
        <v>1</v>
      </c>
      <c r="B2" s="26" t="s">
        <v>5</v>
      </c>
      <c r="C2" s="25" t="s">
        <v>8</v>
      </c>
      <c r="D2" s="25">
        <v>1971</v>
      </c>
      <c r="E2" s="25" t="s">
        <v>6</v>
      </c>
      <c r="F2" s="25" t="s">
        <v>7</v>
      </c>
    </row>
    <row r="3" spans="1:6" ht="15.75" x14ac:dyDescent="0.25">
      <c r="A3" s="25">
        <v>2</v>
      </c>
      <c r="B3" s="26" t="s">
        <v>12</v>
      </c>
      <c r="C3" s="25" t="s">
        <v>8</v>
      </c>
      <c r="D3" s="25">
        <v>1983</v>
      </c>
      <c r="E3" s="25" t="s">
        <v>6</v>
      </c>
      <c r="F3" s="25" t="s">
        <v>10</v>
      </c>
    </row>
    <row r="4" spans="1:6" ht="15.75" x14ac:dyDescent="0.25">
      <c r="A4" s="25">
        <v>18</v>
      </c>
      <c r="B4" s="26" t="s">
        <v>51</v>
      </c>
      <c r="C4" s="25" t="s">
        <v>8</v>
      </c>
      <c r="D4" s="25">
        <v>1979</v>
      </c>
      <c r="E4" s="25" t="s">
        <v>52</v>
      </c>
      <c r="F4" s="25" t="s">
        <v>53</v>
      </c>
    </row>
    <row r="5" spans="1:6" ht="15.75" x14ac:dyDescent="0.25">
      <c r="A5" s="25">
        <v>19</v>
      </c>
      <c r="B5" s="26" t="s">
        <v>54</v>
      </c>
      <c r="C5" s="25" t="s">
        <v>8</v>
      </c>
      <c r="D5" s="25">
        <v>1977</v>
      </c>
      <c r="E5" s="25" t="s">
        <v>52</v>
      </c>
      <c r="F5" s="25" t="s">
        <v>55</v>
      </c>
    </row>
    <row r="6" spans="1:6" ht="15.75" x14ac:dyDescent="0.25">
      <c r="A6" s="25">
        <v>20</v>
      </c>
      <c r="B6" s="26" t="s">
        <v>56</v>
      </c>
      <c r="C6" s="25" t="s">
        <v>8</v>
      </c>
      <c r="D6" s="25">
        <v>1977</v>
      </c>
      <c r="E6" s="25" t="s">
        <v>52</v>
      </c>
      <c r="F6" s="25" t="s">
        <v>55</v>
      </c>
    </row>
    <row r="7" spans="1:6" ht="15.75" x14ac:dyDescent="0.25">
      <c r="A7" s="25">
        <v>29</v>
      </c>
      <c r="B7" s="26" t="s">
        <v>9</v>
      </c>
      <c r="C7" s="25" t="s">
        <v>11</v>
      </c>
      <c r="D7" s="25">
        <v>1974</v>
      </c>
      <c r="E7" s="25" t="s">
        <v>6</v>
      </c>
      <c r="F7" s="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DS</vt:lpstr>
      <vt:lpstr>DS CŨ</vt:lpstr>
      <vt:lpstr>DM</vt:lpstr>
      <vt:lpstr>DS VIP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cp:lastPrinted>2025-05-18T23:51:23Z</cp:lastPrinted>
  <dcterms:created xsi:type="dcterms:W3CDTF">2015-06-05T18:17:20Z</dcterms:created>
  <dcterms:modified xsi:type="dcterms:W3CDTF">2025-05-27T02:52:41Z</dcterms:modified>
</cp:coreProperties>
</file>