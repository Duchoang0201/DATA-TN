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-TN\Hoàng\2025\T5\CT PT VÀ KHAI THÁC HẠ TẦNG KHU CÔNG NGHIỆP ĐÀ NẴNG (74-2025)\"/>
    </mc:Choice>
  </mc:AlternateContent>
  <xr:revisionPtr revIDLastSave="0" documentId="13_ncr:1_{F54EEA15-BC9F-4CB0-92B0-0866AA6FAB68}" xr6:coauthVersionLast="47" xr6:coauthVersionMax="47" xr10:uidLastSave="{00000000-0000-0000-0000-000000000000}"/>
  <bookViews>
    <workbookView xWindow="-120" yWindow="-120" windowWidth="20730" windowHeight="11160" tabRatio="303" xr2:uid="{00000000-000D-0000-FFFF-FFFF00000000}"/>
  </bookViews>
  <sheets>
    <sheet name="Tổng hợp" sheetId="1" r:id="rId1"/>
    <sheet name="Sheet1" sheetId="2" state="hidden" r:id="rId2"/>
  </sheets>
  <externalReferences>
    <externalReference r:id="rId3"/>
  </externalReferences>
  <definedNames>
    <definedName name="_xlnm._FilterDatabase" localSheetId="0" hidden="1">'Tổng hợp'!$A$2:$AQ$43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2" i="2"/>
  <c r="G41" i="2"/>
  <c r="F40" i="2"/>
  <c r="E40" i="2"/>
  <c r="A40" i="2"/>
  <c r="F39" i="2"/>
  <c r="E39" i="2"/>
  <c r="A39" i="2"/>
  <c r="F38" i="2"/>
  <c r="E38" i="2"/>
  <c r="A38" i="2"/>
  <c r="F37" i="2"/>
  <c r="E37" i="2"/>
  <c r="A37" i="2"/>
  <c r="F36" i="2"/>
  <c r="E36" i="2"/>
  <c r="A36" i="2"/>
  <c r="F35" i="2"/>
  <c r="E35" i="2"/>
  <c r="A35" i="2"/>
  <c r="F34" i="2"/>
  <c r="E34" i="2"/>
  <c r="A34" i="2"/>
  <c r="F33" i="2"/>
  <c r="E33" i="2"/>
  <c r="A33" i="2"/>
  <c r="F32" i="2"/>
  <c r="E32" i="2"/>
  <c r="A32" i="2"/>
  <c r="F31" i="2"/>
  <c r="E31" i="2"/>
  <c r="A31" i="2"/>
  <c r="F30" i="2"/>
  <c r="E30" i="2"/>
  <c r="A30" i="2"/>
  <c r="F29" i="2"/>
  <c r="E29" i="2"/>
  <c r="A29" i="2"/>
  <c r="F28" i="2"/>
  <c r="E28" i="2"/>
  <c r="A28" i="2"/>
  <c r="F27" i="2"/>
  <c r="E27" i="2"/>
  <c r="A27" i="2"/>
  <c r="F26" i="2"/>
  <c r="E26" i="2"/>
  <c r="A26" i="2"/>
  <c r="F25" i="2"/>
  <c r="E25" i="2"/>
  <c r="A25" i="2"/>
  <c r="F24" i="2"/>
  <c r="E24" i="2"/>
  <c r="A24" i="2"/>
  <c r="F23" i="2"/>
  <c r="E23" i="2"/>
  <c r="A23" i="2"/>
  <c r="F22" i="2"/>
  <c r="E22" i="2"/>
  <c r="A22" i="2"/>
  <c r="F21" i="2"/>
  <c r="E21" i="2"/>
  <c r="A21" i="2"/>
  <c r="F20" i="2"/>
  <c r="E20" i="2"/>
  <c r="A20" i="2"/>
  <c r="F19" i="2"/>
  <c r="E19" i="2"/>
  <c r="A19" i="2"/>
  <c r="F18" i="2"/>
  <c r="E18" i="2"/>
  <c r="A18" i="2"/>
  <c r="F17" i="2"/>
  <c r="E17" i="2"/>
  <c r="A17" i="2"/>
  <c r="F16" i="2"/>
  <c r="E16" i="2"/>
  <c r="A16" i="2"/>
  <c r="F15" i="2"/>
  <c r="E15" i="2"/>
  <c r="A15" i="2"/>
  <c r="F14" i="2"/>
  <c r="E14" i="2"/>
  <c r="A14" i="2"/>
  <c r="F13" i="2"/>
  <c r="E13" i="2"/>
  <c r="A13" i="2"/>
  <c r="F12" i="2"/>
  <c r="E12" i="2"/>
  <c r="A12" i="2"/>
  <c r="F11" i="2"/>
  <c r="E11" i="2"/>
  <c r="A11" i="2"/>
  <c r="F10" i="2"/>
  <c r="E10" i="2"/>
  <c r="A10" i="2"/>
  <c r="F9" i="2"/>
  <c r="E9" i="2"/>
  <c r="A9" i="2"/>
  <c r="F8" i="2"/>
  <c r="E8" i="2"/>
  <c r="A8" i="2"/>
  <c r="F7" i="2"/>
  <c r="E7" i="2"/>
  <c r="A7" i="2"/>
  <c r="F6" i="2"/>
  <c r="E6" i="2"/>
  <c r="A6" i="2"/>
  <c r="F5" i="2"/>
  <c r="E5" i="2"/>
  <c r="A5" i="2"/>
  <c r="F4" i="2"/>
  <c r="E4" i="2"/>
  <c r="A4" i="2"/>
  <c r="F3" i="2"/>
  <c r="E3" i="2"/>
  <c r="A3" i="2"/>
  <c r="F2" i="2"/>
  <c r="E2" i="2"/>
  <c r="A2" i="2"/>
  <c r="AO4" i="1"/>
  <c r="A5" i="1"/>
  <c r="A6" i="1"/>
  <c r="A7" i="1"/>
  <c r="A9" i="1"/>
  <c r="A10" i="1"/>
  <c r="A11" i="1"/>
  <c r="A12" i="1"/>
  <c r="A16" i="1"/>
  <c r="A17" i="1"/>
  <c r="A18" i="1"/>
  <c r="A19" i="1"/>
  <c r="A21" i="1"/>
  <c r="A22" i="1"/>
  <c r="A25" i="1"/>
  <c r="A26" i="1"/>
  <c r="A27" i="1"/>
  <c r="A28" i="1"/>
  <c r="A29" i="1"/>
  <c r="A30" i="1"/>
  <c r="A32" i="1"/>
  <c r="A33" i="1"/>
  <c r="A34" i="1"/>
  <c r="A35" i="1"/>
  <c r="A36" i="1"/>
  <c r="A37" i="1"/>
  <c r="A38" i="1"/>
  <c r="A39" i="1"/>
  <c r="A40" i="1"/>
  <c r="A41" i="1"/>
  <c r="A42" i="1"/>
  <c r="A8" i="1"/>
  <c r="A14" i="1"/>
  <c r="A20" i="1"/>
  <c r="A23" i="1"/>
  <c r="A24" i="1"/>
  <c r="A31" i="1"/>
  <c r="A15" i="1"/>
  <c r="A13" i="1"/>
  <c r="A4" i="1"/>
  <c r="F5" i="1"/>
  <c r="F6" i="1"/>
  <c r="F7" i="1"/>
  <c r="F9" i="1"/>
  <c r="F10" i="1"/>
  <c r="F11" i="1"/>
  <c r="F12" i="1"/>
  <c r="F16" i="1"/>
  <c r="F17" i="1"/>
  <c r="F18" i="1"/>
  <c r="F19" i="1"/>
  <c r="F21" i="1"/>
  <c r="F22" i="1"/>
  <c r="F25" i="1"/>
  <c r="F26" i="1"/>
  <c r="F27" i="1"/>
  <c r="F28" i="1"/>
  <c r="F29" i="1"/>
  <c r="F30" i="1"/>
  <c r="F32" i="1"/>
  <c r="F33" i="1"/>
  <c r="F34" i="1"/>
  <c r="F35" i="1"/>
  <c r="F36" i="1"/>
  <c r="F37" i="1"/>
  <c r="F38" i="1"/>
  <c r="F39" i="1"/>
  <c r="F40" i="1"/>
  <c r="F41" i="1"/>
  <c r="F42" i="1"/>
  <c r="F8" i="1"/>
  <c r="F14" i="1"/>
  <c r="F20" i="1"/>
  <c r="F23" i="1"/>
  <c r="F24" i="1"/>
  <c r="F31" i="1"/>
  <c r="F15" i="1"/>
  <c r="F13" i="1"/>
  <c r="F4" i="1"/>
  <c r="E4" i="1"/>
  <c r="E5" i="1"/>
  <c r="E6" i="1"/>
  <c r="E7" i="1"/>
  <c r="E9" i="1"/>
  <c r="E10" i="1"/>
  <c r="E11" i="1"/>
  <c r="E12" i="1"/>
  <c r="E16" i="1"/>
  <c r="E17" i="1"/>
  <c r="E18" i="1"/>
  <c r="E19" i="1"/>
  <c r="E21" i="1"/>
  <c r="E22" i="1"/>
  <c r="E25" i="1"/>
  <c r="E26" i="1"/>
  <c r="E27" i="1"/>
  <c r="E28" i="1"/>
  <c r="E29" i="1"/>
  <c r="E30" i="1"/>
  <c r="E32" i="1"/>
  <c r="E33" i="1"/>
  <c r="E34" i="1"/>
  <c r="E35" i="1"/>
  <c r="E36" i="1"/>
  <c r="E37" i="1"/>
  <c r="E38" i="1"/>
  <c r="E39" i="1"/>
  <c r="E40" i="1"/>
  <c r="E41" i="1"/>
  <c r="E42" i="1"/>
  <c r="E8" i="1"/>
  <c r="E14" i="1"/>
  <c r="E20" i="1"/>
  <c r="E23" i="1"/>
  <c r="E24" i="1"/>
  <c r="E31" i="1"/>
  <c r="E15" i="1"/>
  <c r="E13" i="1"/>
  <c r="AP5" i="1" l="1"/>
  <c r="AP6" i="1"/>
  <c r="AP7" i="1"/>
  <c r="AP9" i="1"/>
  <c r="AP10" i="1"/>
  <c r="AP11" i="1"/>
  <c r="AP12" i="1"/>
  <c r="AP16" i="1"/>
  <c r="AP17" i="1"/>
  <c r="AP18" i="1"/>
  <c r="AP19" i="1"/>
  <c r="AP21" i="1"/>
  <c r="AP22" i="1"/>
  <c r="AP25" i="1"/>
  <c r="AP26" i="1"/>
  <c r="AP27" i="1"/>
  <c r="AP28" i="1"/>
  <c r="AP29" i="1"/>
  <c r="AP30" i="1"/>
  <c r="AP32" i="1"/>
  <c r="AP33" i="1"/>
  <c r="AP34" i="1"/>
  <c r="AP35" i="1"/>
  <c r="AP36" i="1"/>
  <c r="AP37" i="1"/>
  <c r="AP38" i="1"/>
  <c r="AP39" i="1"/>
  <c r="AP40" i="1"/>
  <c r="AP41" i="1"/>
  <c r="AP42" i="1"/>
  <c r="AP8" i="1"/>
  <c r="AP14" i="1"/>
  <c r="AP20" i="1"/>
  <c r="AP23" i="1"/>
  <c r="AP24" i="1"/>
  <c r="AP31" i="1"/>
  <c r="AP15" i="1"/>
  <c r="AP13" i="1"/>
  <c r="AP4" i="1"/>
  <c r="AO5" i="1"/>
  <c r="AO6" i="1"/>
  <c r="AO7" i="1"/>
  <c r="AO9" i="1"/>
  <c r="AO10" i="1"/>
  <c r="AO11" i="1"/>
  <c r="AO12" i="1"/>
  <c r="AO16" i="1"/>
  <c r="AO17" i="1"/>
  <c r="AO18" i="1"/>
  <c r="AO19" i="1"/>
  <c r="AO21" i="1"/>
  <c r="AO22" i="1"/>
  <c r="AO25" i="1"/>
  <c r="AO26" i="1"/>
  <c r="AO27" i="1"/>
  <c r="AO28" i="1"/>
  <c r="AO29" i="1"/>
  <c r="AO30" i="1"/>
  <c r="AO32" i="1"/>
  <c r="AO33" i="1"/>
  <c r="AO34" i="1"/>
  <c r="AO35" i="1"/>
  <c r="AO36" i="1"/>
  <c r="AO37" i="1"/>
  <c r="AO38" i="1"/>
  <c r="AO39" i="1"/>
  <c r="AO40" i="1"/>
  <c r="AO41" i="1"/>
  <c r="AO42" i="1"/>
  <c r="AO8" i="1"/>
  <c r="AO14" i="1"/>
  <c r="AO20" i="1"/>
  <c r="AO23" i="1"/>
  <c r="AO24" i="1"/>
  <c r="AO31" i="1"/>
  <c r="AO15" i="1"/>
  <c r="AO13" i="1"/>
  <c r="AO43" i="1" l="1"/>
</calcChain>
</file>

<file path=xl/sharedStrings.xml><?xml version="1.0" encoding="utf-8"?>
<sst xmlns="http://schemas.openxmlformats.org/spreadsheetml/2006/main" count="1612" uniqueCount="121">
  <si>
    <t>Họ và tên</t>
  </si>
  <si>
    <t>Ngày sinh</t>
  </si>
  <si>
    <t>Giới tính</t>
  </si>
  <si>
    <t>Khám Da Liễu-Khám Sức Khỏe (TT32_BYT)</t>
  </si>
  <si>
    <t>Khám Mắt-Khám Sức Khỏe (TT32_BYT)</t>
  </si>
  <si>
    <t>Khám Nội-Khám Sức Khỏe (TT32_BYT)</t>
  </si>
  <si>
    <t>Khám Ngoại-Khám Sức Khỏe (TT32_BYT)</t>
  </si>
  <si>
    <t>Khám RHM-Khám Sức Khỏe (TT32_BYT)</t>
  </si>
  <si>
    <t>Khám SPK-Khám Sức Khỏe (TT32_BYT)</t>
  </si>
  <si>
    <t>Khám TMH-Khám Sức Khỏe (TT32_BYT)</t>
  </si>
  <si>
    <t>Khám vú</t>
  </si>
  <si>
    <t>Tổng Kết Hồ Sơ Khám Sức Khỏe (TT32_BYT)</t>
  </si>
  <si>
    <t>Chụp CT Scanner Ngực</t>
  </si>
  <si>
    <t>Chụp X-quang tim phổi kỹ thuật số (hãng Fuji-Nhật)</t>
  </si>
  <si>
    <t>Điện tâm đồ/ECG</t>
  </si>
  <si>
    <t>Nội soi họng - thanh quản</t>
  </si>
  <si>
    <t>Nội soi Tai Mũi Họng</t>
  </si>
  <si>
    <t>Siêu âm màu Bụng Tổng Quát (Máy GE LOGIQ S7 Expert)</t>
  </si>
  <si>
    <t>Siêu âm màu Tuyến Giáp</t>
  </si>
  <si>
    <t>ALT (SGPT)</t>
  </si>
  <si>
    <t>AST (SGOT)</t>
  </si>
  <si>
    <t>Calci toàn phần</t>
  </si>
  <si>
    <t>Chẩn đoán tế bào học (vị trí 1)</t>
  </si>
  <si>
    <t>Chọc hút tế bào bằng kim nhỏ dưới siêu âm</t>
  </si>
  <si>
    <t>Chọc hút tế bào bằng kim nhỏ dưới siêu âm (FNA) (vị trí 1) - Trọn gói</t>
  </si>
  <si>
    <t>Cholesterol TP</t>
  </si>
  <si>
    <t>Định lượng ACID URIC máu</t>
  </si>
  <si>
    <t>Định lượng Ca++ máu (Calci ion hoá)</t>
  </si>
  <si>
    <t>Định lượng CREATINIE máu</t>
  </si>
  <si>
    <t>Định lượng GLUCOSE máu</t>
  </si>
  <si>
    <t>Ethanol (Nồng độ cồn trong máu)</t>
  </si>
  <si>
    <t>NƯỚC TIỂU 10 THÔNG SỐ (KSK)</t>
  </si>
  <si>
    <t>Soi tươi (Soi trực tiếp nhuộm gram) : Dịch âm đạo</t>
  </si>
  <si>
    <t>Test ma túy tổng hợp (lái xe)</t>
  </si>
  <si>
    <t>Tổng phân tích tế bào máu bằng máy laser</t>
  </si>
  <si>
    <t>Triglyceride</t>
  </si>
  <si>
    <t>Lấy cao răng độ 2,3/ Lần</t>
  </si>
  <si>
    <t/>
  </si>
  <si>
    <t>Nguyễn Trọng Cường</t>
  </si>
  <si>
    <t>1971</t>
  </si>
  <si>
    <t>Nam</t>
  </si>
  <si>
    <t>X</t>
  </si>
  <si>
    <t>Trương Văn Cường</t>
  </si>
  <si>
    <t>1983</t>
  </si>
  <si>
    <t>Nguyễn Kim Trọng</t>
  </si>
  <si>
    <t>1972</t>
  </si>
  <si>
    <t>Nguyễn Văn Thọ</t>
  </si>
  <si>
    <t>Dương Dũng</t>
  </si>
  <si>
    <t>1968</t>
  </si>
  <si>
    <t>Phan Lê Phước Nghĩa</t>
  </si>
  <si>
    <t>1979</t>
  </si>
  <si>
    <t>Bùi Tấn Sơn</t>
  </si>
  <si>
    <t>1995</t>
  </si>
  <si>
    <t>Ông Văn Lộc</t>
  </si>
  <si>
    <t>1981</t>
  </si>
  <si>
    <t>Nguyễn Trung Hiếu</t>
  </si>
  <si>
    <t>Trương Văn Hùng</t>
  </si>
  <si>
    <t>1993</t>
  </si>
  <si>
    <t>Đỗ Viết Tấn</t>
  </si>
  <si>
    <t>1973</t>
  </si>
  <si>
    <t>Phan Trung Tiến</t>
  </si>
  <si>
    <t>Ngô Tấn Trung</t>
  </si>
  <si>
    <t>01/09/1977</t>
  </si>
  <si>
    <t>Trần Văn Quân</t>
  </si>
  <si>
    <t>Phan Xuân Khánh</t>
  </si>
  <si>
    <t>Trương Công Tuấn</t>
  </si>
  <si>
    <t>24/06/1993</t>
  </si>
  <si>
    <t>Nguyễn Phan Thanh</t>
  </si>
  <si>
    <t>1987</t>
  </si>
  <si>
    <t>Phan Văn Tuấn</t>
  </si>
  <si>
    <t>1977</t>
  </si>
  <si>
    <t>Võ Tòng Vũ</t>
  </si>
  <si>
    <t>1999</t>
  </si>
  <si>
    <t>Trần Thu Hương</t>
  </si>
  <si>
    <t>1974</t>
  </si>
  <si>
    <t>Nữ</t>
  </si>
  <si>
    <t>Nguyễn Thị Thơ</t>
  </si>
  <si>
    <t>30/05/1976</t>
  </si>
  <si>
    <t>Phạm Gia Hy</t>
  </si>
  <si>
    <t>1996</t>
  </si>
  <si>
    <t>Đinh Thị Kim Tâm</t>
  </si>
  <si>
    <t>1988</t>
  </si>
  <si>
    <t>Nguyễn Thị Hoa</t>
  </si>
  <si>
    <t>1975</t>
  </si>
  <si>
    <t>Nguyễn Hạnh Thắm</t>
  </si>
  <si>
    <t>Nguyễn Thị Hằng Nga</t>
  </si>
  <si>
    <t>Phạm Thị Cẩm Lai</t>
  </si>
  <si>
    <t>06/10/1989</t>
  </si>
  <si>
    <t>Trần Thị Anh Thư</t>
  </si>
  <si>
    <t>1984</t>
  </si>
  <si>
    <t>Hồ Thị Vân</t>
  </si>
  <si>
    <t>11/02/1975</t>
  </si>
  <si>
    <t>Nguyễn Thị Thu</t>
  </si>
  <si>
    <t>Trịnh Minh Thắng</t>
  </si>
  <si>
    <t>30/08/1975</t>
  </si>
  <si>
    <t>Trần Tuấn Hảo</t>
  </si>
  <si>
    <t>1966</t>
  </si>
  <si>
    <t>Lê Trung Hiếu</t>
  </si>
  <si>
    <t>2001</t>
  </si>
  <si>
    <t>Nguyễn Pho</t>
  </si>
  <si>
    <t>Phan Văn Hùng</t>
  </si>
  <si>
    <t>Nguyễn Trung Kiên</t>
  </si>
  <si>
    <t>Ngô Hoài Phương</t>
  </si>
  <si>
    <t>1994</t>
  </si>
  <si>
    <t>Nguyễn Huy Liêm</t>
  </si>
  <si>
    <t>02/09/1985</t>
  </si>
  <si>
    <t>Ưu đãi trong gói</t>
  </si>
  <si>
    <t>TRONG GÓI KHÁM</t>
  </si>
  <si>
    <t>DỊCH VỤ ĐĂNG KÝ THÊM</t>
  </si>
  <si>
    <t>CHI PHÍ TRONG GÓI</t>
  </si>
  <si>
    <t>CHI PHÍ PHÁT SINH</t>
  </si>
  <si>
    <t>Phòng ban</t>
  </si>
  <si>
    <t>Chức vụ</t>
  </si>
  <si>
    <t xml:space="preserve">Văn Quang Viên </t>
  </si>
  <si>
    <t>NOTE</t>
  </si>
  <si>
    <t>KHÔNG CHỤP X-QUANG</t>
  </si>
  <si>
    <t>STT HỆ THỐNG</t>
  </si>
  <si>
    <t>STT</t>
  </si>
  <si>
    <t>d</t>
  </si>
  <si>
    <t>Tổng cộng</t>
  </si>
  <si>
    <t>Chi phí (VND)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</si>
</sst>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Times New Roman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b/>
      <sz val="11"/>
      <color rgb="FFFF000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" fontId="6" fillId="4" borderId="0" xfId="0" applyNumberFormat="1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3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 wrapText="1"/>
    </xf>
    <xf numFmtId="3" fontId="3" fillId="3" borderId="3" xfId="0" applyNumberFormat="1" applyFont="1" applyFill="1" applyBorder="1" applyAlignment="1">
      <alignment horizontal="center" vertical="center" wrapText="1"/>
    </xf>
    <xf numFmtId="3" fontId="3" fillId="3" borderId="4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DATA-TN\Ho&#224;ng\2025\T5\CT%20PT%20V&#192;%20KHAI%20TH&#193;C%20H&#7840;%20T&#7846;NG%20KHU%20C&#212;NG%20NGHI&#7878;P%20&#272;&#192;%20N&#7860;NG%20(74-2025)\DS,%20DM%20KSK%20C&#212;NG%20TY%20PH&#193;T%20TRI&#7874;N%20V&#192;%20KHAI%20TH&#193;C%20H&#7840;%20T&#7846;NG%20KCN%20&#272;&#192;%20N&#7860;NG.xlsx" TargetMode="External"/><Relationship Id="rId1" Type="http://schemas.openxmlformats.org/officeDocument/2006/relationships/externalLinkPath" Target="DS,%20DM%20KSK%20C&#212;NG%20TY%20PH&#193;T%20TRI&#7874;N%20V&#192;%20KHAI%20TH&#193;C%20H&#7840;%20T&#7846;NG%20KCN%20&#272;&#192;%20N&#7860;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S"/>
      <sheetName val="DS CŨ"/>
      <sheetName val="DM"/>
      <sheetName val="DS VIP"/>
    </sheetNames>
    <sheetDataSet>
      <sheetData sheetId="0">
        <row r="2">
          <cell r="A2">
            <v>1</v>
          </cell>
          <cell r="B2" t="str">
            <v>Nguyễn Trọng Cường</v>
          </cell>
          <cell r="F2" t="str">
            <v>Lãnh đạo</v>
          </cell>
          <cell r="G2" t="str">
            <v>Giám đốc</v>
          </cell>
        </row>
        <row r="3">
          <cell r="A3">
            <v>2</v>
          </cell>
          <cell r="B3" t="str">
            <v>Trương Văn Cường</v>
          </cell>
          <cell r="F3" t="str">
            <v>Lãnh đạo</v>
          </cell>
          <cell r="G3" t="str">
            <v>Phó giám đốc</v>
          </cell>
        </row>
        <row r="4">
          <cell r="A4">
            <v>3</v>
          </cell>
          <cell r="B4" t="str">
            <v>Nguyễn Kim Trọng</v>
          </cell>
          <cell r="F4" t="str">
            <v>Phòng Hành chính-Tổng hợp</v>
          </cell>
          <cell r="G4" t="str">
            <v>Trưởng phòng</v>
          </cell>
        </row>
        <row r="5">
          <cell r="A5">
            <v>4</v>
          </cell>
          <cell r="B5" t="str">
            <v>Nguyễn Văn Thọ</v>
          </cell>
          <cell r="F5" t="str">
            <v>Phòng Hành chính-Tổng hợp</v>
          </cell>
          <cell r="G5" t="str">
            <v>Nhân viên lái xe</v>
          </cell>
        </row>
        <row r="6">
          <cell r="A6">
            <v>5</v>
          </cell>
          <cell r="B6" t="str">
            <v>Trịnh Minh Thắng</v>
          </cell>
          <cell r="F6" t="str">
            <v>Phòng Kế hoạch</v>
          </cell>
          <cell r="G6" t="str">
            <v>Trưởng phòng</v>
          </cell>
        </row>
        <row r="7">
          <cell r="A7">
            <v>6</v>
          </cell>
          <cell r="B7" t="str">
            <v>Dương Dũng</v>
          </cell>
          <cell r="F7" t="str">
            <v>Phòng Kế hoạch</v>
          </cell>
          <cell r="G7" t="str">
            <v>Chuyên viên</v>
          </cell>
        </row>
        <row r="8">
          <cell r="A8">
            <v>7</v>
          </cell>
          <cell r="B8" t="str">
            <v>Phan Lê Phước Nghĩa</v>
          </cell>
          <cell r="F8" t="str">
            <v xml:space="preserve">Phòng Kế hoạch </v>
          </cell>
          <cell r="G8" t="str">
            <v>Chuyên viên</v>
          </cell>
        </row>
        <row r="9">
          <cell r="A9">
            <v>8</v>
          </cell>
          <cell r="B9" t="str">
            <v>Bùi Tấn Sơn</v>
          </cell>
          <cell r="F9" t="str">
            <v xml:space="preserve">Phòng Kế hoạch </v>
          </cell>
          <cell r="G9" t="str">
            <v>Chuyên viên</v>
          </cell>
        </row>
        <row r="10">
          <cell r="A10">
            <v>9</v>
          </cell>
          <cell r="B10" t="str">
            <v>Ông Văn Lộc</v>
          </cell>
          <cell r="F10" t="str">
            <v>Phòng Kỹ Thuật</v>
          </cell>
          <cell r="G10" t="str">
            <v>Trưởng phòng</v>
          </cell>
        </row>
        <row r="11">
          <cell r="A11">
            <v>10</v>
          </cell>
          <cell r="B11" t="str">
            <v>Nguyễn Huy Liêm</v>
          </cell>
          <cell r="F11" t="str">
            <v>Phòng Kỹ Thuật</v>
          </cell>
          <cell r="G11" t="str">
            <v>Chuyên viên</v>
          </cell>
        </row>
        <row r="12">
          <cell r="A12">
            <v>11</v>
          </cell>
          <cell r="B12" t="str">
            <v>Trần Tuấn Hảo</v>
          </cell>
          <cell r="F12" t="str">
            <v>Phòng Kỹ Thuật</v>
          </cell>
          <cell r="G12" t="str">
            <v>Chuyên viên</v>
          </cell>
        </row>
        <row r="13">
          <cell r="A13">
            <v>12</v>
          </cell>
          <cell r="B13" t="str">
            <v>Ngô Hoài Phương</v>
          </cell>
          <cell r="F13" t="str">
            <v>Phòng Kỹ Thuật</v>
          </cell>
          <cell r="G13" t="str">
            <v>Chuyên viên</v>
          </cell>
        </row>
        <row r="14">
          <cell r="A14">
            <v>13</v>
          </cell>
          <cell r="B14" t="str">
            <v>Nguyễn Trung Hiếu</v>
          </cell>
          <cell r="F14" t="str">
            <v>Phòng QL KCN DVTS Đà Nẵng</v>
          </cell>
          <cell r="G14" t="str">
            <v>Trưởng phòng</v>
          </cell>
        </row>
        <row r="15">
          <cell r="A15">
            <v>14</v>
          </cell>
          <cell r="B15" t="str">
            <v>Trương Văn Hùng</v>
          </cell>
          <cell r="F15" t="str">
            <v>Phòng QL KCN DVTS Đà Nẵng</v>
          </cell>
          <cell r="G15" t="str">
            <v>Cán sự</v>
          </cell>
        </row>
        <row r="16">
          <cell r="A16">
            <v>15</v>
          </cell>
          <cell r="B16" t="str">
            <v>Đỗ Viết Tấn</v>
          </cell>
          <cell r="F16" t="str">
            <v>Phòng QL KCN DVTS Đà Nẵng</v>
          </cell>
          <cell r="G16" t="str">
            <v>Nhân viên bảo vệ</v>
          </cell>
        </row>
        <row r="17">
          <cell r="A17">
            <v>16</v>
          </cell>
          <cell r="B17" t="str">
            <v>Phan Trung Tiến</v>
          </cell>
          <cell r="F17" t="str">
            <v>Phòng QL KCN DVTS Đà Nẵng</v>
          </cell>
          <cell r="G17" t="str">
            <v>Nhân viên bảo vệ</v>
          </cell>
        </row>
        <row r="18">
          <cell r="A18">
            <v>17</v>
          </cell>
          <cell r="B18" t="str">
            <v>Lê Trung Hiếu</v>
          </cell>
          <cell r="F18" t="str">
            <v>Phòng QL KCN DVTS Đà Nẵng</v>
          </cell>
          <cell r="G18" t="str">
            <v>Nhân viên bảo vệ</v>
          </cell>
        </row>
        <row r="19">
          <cell r="A19">
            <v>18</v>
          </cell>
          <cell r="B19" t="str">
            <v xml:space="preserve">Văn Quang Viên </v>
          </cell>
          <cell r="F19" t="str">
            <v>Xí nghiệp QL&amp;DV KCN Hòa Khánh</v>
          </cell>
          <cell r="G19" t="str">
            <v>Giám đốc XN</v>
          </cell>
        </row>
        <row r="20">
          <cell r="A20">
            <v>19</v>
          </cell>
          <cell r="B20" t="str">
            <v>Ngô Tấn Trung</v>
          </cell>
          <cell r="F20" t="str">
            <v>Xí nghiệp QL&amp;DV KCN Hòa Khánh</v>
          </cell>
          <cell r="G20" t="str">
            <v>Phó giám đốc XN</v>
          </cell>
        </row>
        <row r="21">
          <cell r="A21">
            <v>20</v>
          </cell>
          <cell r="B21" t="str">
            <v>Nguyễn Pho</v>
          </cell>
          <cell r="F21" t="str">
            <v>Xí nghiệp QL&amp;DV KCN Hòa Khánh</v>
          </cell>
          <cell r="G21" t="str">
            <v>Phó giám đốc XN</v>
          </cell>
        </row>
        <row r="22">
          <cell r="A22">
            <v>21</v>
          </cell>
          <cell r="B22" t="str">
            <v>Phan Văn Hùng</v>
          </cell>
          <cell r="F22" t="str">
            <v>Xí nghiệp QL&amp;DV KCN Hòa Khánh</v>
          </cell>
          <cell r="G22" t="str">
            <v>Cán sự</v>
          </cell>
        </row>
        <row r="23">
          <cell r="A23">
            <v>22</v>
          </cell>
          <cell r="B23" t="str">
            <v>Trần Văn Quân</v>
          </cell>
          <cell r="F23" t="str">
            <v>Xí nghiệp QL&amp;DV KCN Hòa Khánh</v>
          </cell>
          <cell r="G23" t="str">
            <v>Nhân viên bảo vệ</v>
          </cell>
        </row>
        <row r="24">
          <cell r="A24">
            <v>23</v>
          </cell>
          <cell r="B24" t="str">
            <v>Phan Xuân Khánh</v>
          </cell>
          <cell r="F24" t="str">
            <v>Xí nghiệp QL&amp;DV KCN Hòa Khánh</v>
          </cell>
          <cell r="G24" t="str">
            <v>Nhân viên lái xe</v>
          </cell>
        </row>
        <row r="25">
          <cell r="A25">
            <v>24</v>
          </cell>
          <cell r="B25" t="str">
            <v>Trương Công Tuấn</v>
          </cell>
          <cell r="F25" t="str">
            <v>Xí nghiệp QL&amp;DV KCN Hòa Khánh</v>
          </cell>
          <cell r="G25" t="str">
            <v>Nhân viên lái xe</v>
          </cell>
        </row>
        <row r="26">
          <cell r="A26">
            <v>25</v>
          </cell>
          <cell r="B26" t="str">
            <v>Nguyễn Phan Thanh</v>
          </cell>
          <cell r="F26" t="str">
            <v>Xí nghiệp QL&amp;DV KCN Hòa Khánh</v>
          </cell>
          <cell r="G26" t="str">
            <v>Nhân viên bảo vệ</v>
          </cell>
        </row>
        <row r="27">
          <cell r="A27">
            <v>26</v>
          </cell>
          <cell r="B27" t="str">
            <v>Phan Văn Tuấn</v>
          </cell>
          <cell r="F27" t="str">
            <v>Xí nghiệp QL&amp;DV KCN Hòa Khánh</v>
          </cell>
          <cell r="G27" t="str">
            <v>Nhân viên bảo vệ</v>
          </cell>
        </row>
        <row r="28">
          <cell r="A28">
            <v>27</v>
          </cell>
          <cell r="B28" t="str">
            <v>Võ Tòng Vũ</v>
          </cell>
          <cell r="F28" t="str">
            <v>Xí nghiệp QL&amp;DV KCN Hòa Khánh</v>
          </cell>
          <cell r="G28" t="str">
            <v>Nhân viên bảo vệ</v>
          </cell>
        </row>
        <row r="29">
          <cell r="A29">
            <v>28</v>
          </cell>
          <cell r="B29" t="str">
            <v>Nguyễn Trung Kiên</v>
          </cell>
          <cell r="F29" t="str">
            <v>Xí nghiệp QL&amp;DV KCN Hòa Khánh</v>
          </cell>
          <cell r="G29" t="str">
            <v>Nhân viên bảo vệ</v>
          </cell>
        </row>
        <row r="30">
          <cell r="A30">
            <v>29</v>
          </cell>
          <cell r="B30" t="str">
            <v>Trần Thu Hương</v>
          </cell>
          <cell r="F30" t="str">
            <v>Lãnh đạo</v>
          </cell>
          <cell r="G30" t="str">
            <v>Phó giám đốc</v>
          </cell>
        </row>
        <row r="31">
          <cell r="A31">
            <v>30</v>
          </cell>
          <cell r="B31" t="str">
            <v>Nguyễn Thị Thơ</v>
          </cell>
          <cell r="F31" t="str">
            <v>Phòng Hành chính-Tổng hợp</v>
          </cell>
          <cell r="G31" t="str">
            <v>Phó trưởng phòng</v>
          </cell>
        </row>
        <row r="32">
          <cell r="A32">
            <v>31</v>
          </cell>
          <cell r="B32" t="str">
            <v>Phạm Gia Hy</v>
          </cell>
          <cell r="F32" t="str">
            <v>Phòng Hành chính-Tổng hợp</v>
          </cell>
          <cell r="G32" t="str">
            <v>Văn thư viên</v>
          </cell>
        </row>
        <row r="33">
          <cell r="A33">
            <v>32</v>
          </cell>
          <cell r="B33" t="str">
            <v>Đinh Thị Kim Tâm</v>
          </cell>
          <cell r="F33" t="str">
            <v>Phòng Kế hoạch</v>
          </cell>
          <cell r="G33" t="str">
            <v>Chuyên viên</v>
          </cell>
        </row>
        <row r="34">
          <cell r="A34">
            <v>33</v>
          </cell>
          <cell r="B34" t="str">
            <v>Nguyễn Thị Hoa</v>
          </cell>
          <cell r="F34" t="str">
            <v>Phòng Kế toán - Tài vụ</v>
          </cell>
          <cell r="G34" t="str">
            <v>Trưởng phòng</v>
          </cell>
        </row>
        <row r="35">
          <cell r="A35">
            <v>34</v>
          </cell>
          <cell r="B35" t="str">
            <v>Nguyễn Hạnh Thắm</v>
          </cell>
          <cell r="F35" t="str">
            <v>Phòng Kế toán - Tài vụ</v>
          </cell>
          <cell r="G35" t="str">
            <v>Phó trưởng phòng</v>
          </cell>
        </row>
        <row r="36">
          <cell r="A36">
            <v>35</v>
          </cell>
          <cell r="B36" t="str">
            <v>Nguyễn Thị Hằng Nga</v>
          </cell>
          <cell r="F36" t="str">
            <v>Phòng Kế toán - Tài vụ</v>
          </cell>
          <cell r="G36" t="str">
            <v>Chuyên viên</v>
          </cell>
        </row>
        <row r="37">
          <cell r="A37">
            <v>36</v>
          </cell>
          <cell r="B37" t="str">
            <v>Phạm Thị Cẩm Lai</v>
          </cell>
          <cell r="F37" t="str">
            <v>Phòng Kế toán - Tài vụ</v>
          </cell>
          <cell r="G37" t="str">
            <v>Chuyên viên</v>
          </cell>
        </row>
        <row r="38">
          <cell r="A38">
            <v>37</v>
          </cell>
          <cell r="B38" t="str">
            <v>Trần Thị Anh Thư</v>
          </cell>
          <cell r="F38" t="str">
            <v>Phòng Kế hoạch</v>
          </cell>
          <cell r="G38" t="str">
            <v>Phó phòng</v>
          </cell>
        </row>
        <row r="39">
          <cell r="A39">
            <v>38</v>
          </cell>
          <cell r="B39" t="str">
            <v>Hồ Thị Vân</v>
          </cell>
          <cell r="F39" t="str">
            <v>Phòng QL KCN DVTS Đà Nẵng</v>
          </cell>
          <cell r="G39" t="str">
            <v>Chuyên viên</v>
          </cell>
        </row>
        <row r="40">
          <cell r="A40">
            <v>39</v>
          </cell>
          <cell r="B40" t="str">
            <v>Nguyễn Thị Thu</v>
          </cell>
          <cell r="F40" t="str">
            <v>Xí nghiệp QL&amp;DV KCN Hòa Khánh</v>
          </cell>
          <cell r="G40" t="str">
            <v>Phục vụ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3"/>
  <sheetViews>
    <sheetView tabSelected="1" topLeftCell="A19" zoomScale="85" zoomScaleNormal="85" workbookViewId="0">
      <selection activeCell="E33" sqref="E33"/>
    </sheetView>
  </sheetViews>
  <sheetFormatPr defaultRowHeight="15" x14ac:dyDescent="0.25"/>
  <cols>
    <col min="2" max="2" width="25" customWidth="1"/>
    <col min="3" max="3" width="10" customWidth="1"/>
    <col min="5" max="5" width="33.28515625" bestFit="1" customWidth="1"/>
    <col min="6" max="6" width="16.28515625" bestFit="1" customWidth="1"/>
    <col min="7" max="40" width="15" customWidth="1"/>
    <col min="41" max="41" width="15.7109375" bestFit="1" customWidth="1"/>
    <col min="43" max="43" width="26.140625" bestFit="1" customWidth="1"/>
  </cols>
  <sheetData>
    <row r="1" spans="1:43" ht="22.5" x14ac:dyDescent="0.25">
      <c r="A1" s="12"/>
      <c r="B1" s="12"/>
      <c r="C1" s="12"/>
      <c r="D1" s="12"/>
      <c r="E1" s="12"/>
      <c r="F1" s="12"/>
      <c r="G1" s="25" t="s">
        <v>107</v>
      </c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12"/>
      <c r="AF1" s="13" t="s">
        <v>108</v>
      </c>
      <c r="AG1" s="12"/>
      <c r="AH1" s="12"/>
      <c r="AI1" s="12"/>
      <c r="AJ1" s="12"/>
      <c r="AK1" s="12"/>
      <c r="AL1" s="12"/>
      <c r="AM1" s="12"/>
      <c r="AN1" s="12"/>
      <c r="AO1" s="1"/>
      <c r="AP1" s="1"/>
      <c r="AQ1" s="1"/>
    </row>
    <row r="2" spans="1:43" ht="85.5" x14ac:dyDescent="0.25">
      <c r="A2" s="7" t="s">
        <v>116</v>
      </c>
      <c r="B2" s="7" t="s">
        <v>0</v>
      </c>
      <c r="C2" s="7" t="s">
        <v>1</v>
      </c>
      <c r="D2" s="7" t="s">
        <v>2</v>
      </c>
      <c r="E2" s="2" t="s">
        <v>111</v>
      </c>
      <c r="F2" s="7" t="s">
        <v>112</v>
      </c>
      <c r="G2" s="4" t="s">
        <v>3</v>
      </c>
      <c r="H2" s="4" t="s">
        <v>4</v>
      </c>
      <c r="I2" s="4" t="s">
        <v>5</v>
      </c>
      <c r="J2" s="4" t="s">
        <v>6</v>
      </c>
      <c r="K2" s="4" t="s">
        <v>7</v>
      </c>
      <c r="L2" s="4" t="s">
        <v>8</v>
      </c>
      <c r="M2" s="4" t="s">
        <v>10</v>
      </c>
      <c r="N2" s="4" t="s">
        <v>9</v>
      </c>
      <c r="O2" s="4" t="s">
        <v>11</v>
      </c>
      <c r="P2" s="4" t="s">
        <v>31</v>
      </c>
      <c r="Q2" s="4" t="s">
        <v>13</v>
      </c>
      <c r="R2" s="4" t="s">
        <v>14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33</v>
      </c>
      <c r="X2" s="4" t="s">
        <v>34</v>
      </c>
      <c r="Y2" s="4" t="s">
        <v>25</v>
      </c>
      <c r="Z2" s="4" t="s">
        <v>35</v>
      </c>
      <c r="AA2" s="4" t="s">
        <v>26</v>
      </c>
      <c r="AB2" s="4" t="s">
        <v>28</v>
      </c>
      <c r="AC2" s="4" t="s">
        <v>29</v>
      </c>
      <c r="AD2" s="4" t="s">
        <v>30</v>
      </c>
      <c r="AE2" s="8" t="s">
        <v>12</v>
      </c>
      <c r="AF2" s="8" t="s">
        <v>15</v>
      </c>
      <c r="AG2" s="8" t="s">
        <v>16</v>
      </c>
      <c r="AH2" s="8" t="s">
        <v>21</v>
      </c>
      <c r="AI2" s="8" t="s">
        <v>27</v>
      </c>
      <c r="AJ2" s="8" t="s">
        <v>22</v>
      </c>
      <c r="AK2" s="8" t="s">
        <v>23</v>
      </c>
      <c r="AL2" s="8" t="s">
        <v>24</v>
      </c>
      <c r="AM2" s="8" t="s">
        <v>32</v>
      </c>
      <c r="AN2" s="8" t="s">
        <v>36</v>
      </c>
      <c r="AO2" s="4" t="s">
        <v>109</v>
      </c>
      <c r="AP2" s="8" t="s">
        <v>110</v>
      </c>
      <c r="AQ2" s="10" t="s">
        <v>114</v>
      </c>
    </row>
    <row r="3" spans="1:43" s="1" customFormat="1" ht="28.5" x14ac:dyDescent="0.25">
      <c r="A3" s="23"/>
      <c r="B3" s="23"/>
      <c r="C3" s="23"/>
      <c r="D3" s="23"/>
      <c r="E3" s="23"/>
      <c r="F3" s="24"/>
      <c r="G3" s="3">
        <v>20000</v>
      </c>
      <c r="H3" s="3">
        <v>20000</v>
      </c>
      <c r="I3" s="3">
        <v>50000</v>
      </c>
      <c r="J3" s="3">
        <v>20000</v>
      </c>
      <c r="K3" s="3">
        <v>20000</v>
      </c>
      <c r="L3" s="4" t="s">
        <v>106</v>
      </c>
      <c r="M3" s="4" t="s">
        <v>106</v>
      </c>
      <c r="N3" s="3">
        <v>20000</v>
      </c>
      <c r="O3" s="4" t="s">
        <v>106</v>
      </c>
      <c r="P3" s="3">
        <v>59000</v>
      </c>
      <c r="Q3" s="3">
        <v>102000</v>
      </c>
      <c r="R3" s="3">
        <v>70000</v>
      </c>
      <c r="S3" s="3">
        <v>155000</v>
      </c>
      <c r="T3" s="3">
        <v>155000</v>
      </c>
      <c r="U3" s="3">
        <v>30000</v>
      </c>
      <c r="V3" s="3">
        <v>30000</v>
      </c>
      <c r="W3" s="3">
        <v>183000</v>
      </c>
      <c r="X3" s="3">
        <v>75000</v>
      </c>
      <c r="Y3" s="3">
        <v>47000</v>
      </c>
      <c r="Z3" s="3">
        <v>41000</v>
      </c>
      <c r="AA3" s="3">
        <v>41000</v>
      </c>
      <c r="AB3" s="3">
        <v>41000</v>
      </c>
      <c r="AC3" s="3">
        <v>27000</v>
      </c>
      <c r="AD3" s="3">
        <v>233000</v>
      </c>
      <c r="AE3" s="5">
        <v>630000</v>
      </c>
      <c r="AF3" s="5">
        <v>198000</v>
      </c>
      <c r="AG3" s="5">
        <v>241200</v>
      </c>
      <c r="AH3" s="5">
        <v>18000</v>
      </c>
      <c r="AI3" s="5">
        <v>27000</v>
      </c>
      <c r="AJ3" s="20">
        <v>422100</v>
      </c>
      <c r="AK3" s="21"/>
      <c r="AL3" s="22"/>
      <c r="AM3" s="5">
        <v>64800</v>
      </c>
      <c r="AN3" s="5">
        <v>225000</v>
      </c>
      <c r="AO3" s="4"/>
      <c r="AP3" s="8"/>
      <c r="AQ3" s="11"/>
    </row>
    <row r="4" spans="1:43" x14ac:dyDescent="0.25">
      <c r="A4" s="9">
        <f>_xlfn.XLOOKUP(B4,[1]DS!$B$2:$B$40,[1]DS!$A$2:$A$40)</f>
        <v>1</v>
      </c>
      <c r="B4" s="16" t="s">
        <v>38</v>
      </c>
      <c r="C4" s="14" t="s">
        <v>39</v>
      </c>
      <c r="D4" s="14" t="s">
        <v>40</v>
      </c>
      <c r="E4" s="9" t="str">
        <f>_xlfn.XLOOKUP(B4,[1]DS!$B$2:$B$40,[1]DS!$F$2:$F$40)</f>
        <v>Lãnh đạo</v>
      </c>
      <c r="F4" s="9" t="str">
        <f>_xlfn.XLOOKUP(B4,[1]DS!$B$2:$B$40,[1]DS!$G$2:$G$40)</f>
        <v>Giám đốc</v>
      </c>
      <c r="G4" s="9" t="s">
        <v>41</v>
      </c>
      <c r="H4" s="9" t="s">
        <v>41</v>
      </c>
      <c r="I4" s="9" t="s">
        <v>41</v>
      </c>
      <c r="J4" s="9" t="s">
        <v>41</v>
      </c>
      <c r="K4" s="9" t="s">
        <v>41</v>
      </c>
      <c r="L4" s="9" t="s">
        <v>37</v>
      </c>
      <c r="M4" s="9" t="s">
        <v>37</v>
      </c>
      <c r="N4" s="9" t="s">
        <v>41</v>
      </c>
      <c r="O4" s="9" t="s">
        <v>41</v>
      </c>
      <c r="P4" s="9" t="s">
        <v>41</v>
      </c>
      <c r="Q4" s="9" t="s">
        <v>41</v>
      </c>
      <c r="R4" s="9" t="s">
        <v>41</v>
      </c>
      <c r="S4" s="9" t="s">
        <v>41</v>
      </c>
      <c r="T4" s="9" t="s">
        <v>41</v>
      </c>
      <c r="U4" s="9" t="s">
        <v>41</v>
      </c>
      <c r="V4" s="9" t="s">
        <v>41</v>
      </c>
      <c r="W4" s="9" t="s">
        <v>37</v>
      </c>
      <c r="X4" s="9" t="s">
        <v>41</v>
      </c>
      <c r="Y4" s="9" t="s">
        <v>41</v>
      </c>
      <c r="Z4" s="9" t="s">
        <v>41</v>
      </c>
      <c r="AA4" s="9" t="s">
        <v>41</v>
      </c>
      <c r="AB4" s="9" t="s">
        <v>41</v>
      </c>
      <c r="AC4" s="9" t="s">
        <v>41</v>
      </c>
      <c r="AD4" s="9" t="s">
        <v>37</v>
      </c>
      <c r="AE4" s="9" t="s">
        <v>41</v>
      </c>
      <c r="AF4" s="9" t="s">
        <v>37</v>
      </c>
      <c r="AG4" s="9" t="s">
        <v>41</v>
      </c>
      <c r="AH4" s="9" t="s">
        <v>37</v>
      </c>
      <c r="AI4" s="9" t="s">
        <v>37</v>
      </c>
      <c r="AJ4" s="9" t="s">
        <v>37</v>
      </c>
      <c r="AK4" s="9" t="s">
        <v>37</v>
      </c>
      <c r="AL4" s="9" t="s">
        <v>37</v>
      </c>
      <c r="AM4" s="9" t="s">
        <v>37</v>
      </c>
      <c r="AN4" s="9" t="s">
        <v>37</v>
      </c>
      <c r="AO4" s="6">
        <f t="shared" ref="AO4:AO42" si="0">SUMIF(G4:AD4,"X",$G$3:$AD$3)</f>
        <v>1023000</v>
      </c>
      <c r="AP4" s="6">
        <f t="shared" ref="AP4:AP42" si="1">SUMIF(AE4:AN4,"X",$AE$3:$AN$3)</f>
        <v>871200</v>
      </c>
      <c r="AQ4" s="6"/>
    </row>
    <row r="5" spans="1:43" x14ac:dyDescent="0.25">
      <c r="A5" s="9">
        <f>_xlfn.XLOOKUP(B5,[1]DS!$B$2:$B$40,[1]DS!$A$2:$A$40)</f>
        <v>2</v>
      </c>
      <c r="B5" s="16" t="s">
        <v>42</v>
      </c>
      <c r="C5" s="14" t="s">
        <v>43</v>
      </c>
      <c r="D5" s="14" t="s">
        <v>40</v>
      </c>
      <c r="E5" s="9" t="str">
        <f>_xlfn.XLOOKUP(B5,[1]DS!$B$2:$B$40,[1]DS!$F$2:$F$40)</f>
        <v>Lãnh đạo</v>
      </c>
      <c r="F5" s="9" t="str">
        <f>_xlfn.XLOOKUP(B5,[1]DS!$B$2:$B$40,[1]DS!$G$2:$G$40)</f>
        <v>Phó giám đốc</v>
      </c>
      <c r="G5" s="9" t="s">
        <v>41</v>
      </c>
      <c r="H5" s="9" t="s">
        <v>41</v>
      </c>
      <c r="I5" s="9" t="s">
        <v>41</v>
      </c>
      <c r="J5" s="9" t="s">
        <v>41</v>
      </c>
      <c r="K5" s="9" t="s">
        <v>41</v>
      </c>
      <c r="L5" s="9" t="s">
        <v>37</v>
      </c>
      <c r="M5" s="9" t="s">
        <v>37</v>
      </c>
      <c r="N5" s="9" t="s">
        <v>41</v>
      </c>
      <c r="O5" s="9" t="s">
        <v>41</v>
      </c>
      <c r="P5" s="9" t="s">
        <v>41</v>
      </c>
      <c r="Q5" s="9" t="s">
        <v>41</v>
      </c>
      <c r="R5" s="9" t="s">
        <v>41</v>
      </c>
      <c r="S5" s="9" t="s">
        <v>41</v>
      </c>
      <c r="T5" s="9" t="s">
        <v>41</v>
      </c>
      <c r="U5" s="9" t="s">
        <v>41</v>
      </c>
      <c r="V5" s="9" t="s">
        <v>41</v>
      </c>
      <c r="W5" s="9" t="s">
        <v>37</v>
      </c>
      <c r="X5" s="9" t="s">
        <v>41</v>
      </c>
      <c r="Y5" s="9" t="s">
        <v>41</v>
      </c>
      <c r="Z5" s="9" t="s">
        <v>41</v>
      </c>
      <c r="AA5" s="9" t="s">
        <v>41</v>
      </c>
      <c r="AB5" s="9" t="s">
        <v>41</v>
      </c>
      <c r="AC5" s="9" t="s">
        <v>41</v>
      </c>
      <c r="AD5" s="9" t="s">
        <v>37</v>
      </c>
      <c r="AE5" s="9" t="s">
        <v>37</v>
      </c>
      <c r="AF5" s="9" t="s">
        <v>37</v>
      </c>
      <c r="AG5" s="9" t="s">
        <v>37</v>
      </c>
      <c r="AH5" s="9" t="s">
        <v>37</v>
      </c>
      <c r="AI5" s="9" t="s">
        <v>37</v>
      </c>
      <c r="AJ5" s="9" t="s">
        <v>37</v>
      </c>
      <c r="AK5" s="9" t="s">
        <v>37</v>
      </c>
      <c r="AL5" s="9" t="s">
        <v>37</v>
      </c>
      <c r="AM5" s="9" t="s">
        <v>37</v>
      </c>
      <c r="AN5" s="9" t="s">
        <v>37</v>
      </c>
      <c r="AO5" s="6">
        <f t="shared" si="0"/>
        <v>1023000</v>
      </c>
      <c r="AP5" s="6">
        <f t="shared" si="1"/>
        <v>0</v>
      </c>
      <c r="AQ5" s="6"/>
    </row>
    <row r="6" spans="1:43" x14ac:dyDescent="0.25">
      <c r="A6" s="9">
        <f>_xlfn.XLOOKUP(B6,[1]DS!$B$2:$B$40,[1]DS!$A$2:$A$40)</f>
        <v>3</v>
      </c>
      <c r="B6" s="16" t="s">
        <v>44</v>
      </c>
      <c r="C6" s="14" t="s">
        <v>45</v>
      </c>
      <c r="D6" s="14" t="s">
        <v>40</v>
      </c>
      <c r="E6" s="9" t="str">
        <f>_xlfn.XLOOKUP(B6,[1]DS!$B$2:$B$40,[1]DS!$F$2:$F$40)</f>
        <v>Phòng Hành chính-Tổng hợp</v>
      </c>
      <c r="F6" s="9" t="str">
        <f>_xlfn.XLOOKUP(B6,[1]DS!$B$2:$B$40,[1]DS!$G$2:$G$40)</f>
        <v>Trưởng phòng</v>
      </c>
      <c r="G6" s="9" t="s">
        <v>41</v>
      </c>
      <c r="H6" s="9" t="s">
        <v>41</v>
      </c>
      <c r="I6" s="9" t="s">
        <v>41</v>
      </c>
      <c r="J6" s="9" t="s">
        <v>41</v>
      </c>
      <c r="K6" s="9" t="s">
        <v>41</v>
      </c>
      <c r="L6" s="9" t="s">
        <v>37</v>
      </c>
      <c r="M6" s="9" t="s">
        <v>37</v>
      </c>
      <c r="N6" s="9" t="s">
        <v>41</v>
      </c>
      <c r="O6" s="9" t="s">
        <v>41</v>
      </c>
      <c r="P6" s="9" t="s">
        <v>41</v>
      </c>
      <c r="Q6" s="9" t="s">
        <v>41</v>
      </c>
      <c r="R6" s="9" t="s">
        <v>41</v>
      </c>
      <c r="S6" s="9" t="s">
        <v>41</v>
      </c>
      <c r="T6" s="9" t="s">
        <v>41</v>
      </c>
      <c r="U6" s="9" t="s">
        <v>41</v>
      </c>
      <c r="V6" s="9" t="s">
        <v>41</v>
      </c>
      <c r="W6" s="9" t="s">
        <v>37</v>
      </c>
      <c r="X6" s="9" t="s">
        <v>41</v>
      </c>
      <c r="Y6" s="9" t="s">
        <v>41</v>
      </c>
      <c r="Z6" s="9" t="s">
        <v>41</v>
      </c>
      <c r="AA6" s="9" t="s">
        <v>41</v>
      </c>
      <c r="AB6" s="9" t="s">
        <v>41</v>
      </c>
      <c r="AC6" s="9" t="s">
        <v>41</v>
      </c>
      <c r="AD6" s="9" t="s">
        <v>37</v>
      </c>
      <c r="AE6" s="9" t="s">
        <v>37</v>
      </c>
      <c r="AF6" s="9" t="s">
        <v>37</v>
      </c>
      <c r="AG6" s="9" t="s">
        <v>37</v>
      </c>
      <c r="AH6" s="9" t="s">
        <v>37</v>
      </c>
      <c r="AI6" s="9" t="s">
        <v>37</v>
      </c>
      <c r="AJ6" s="9" t="s">
        <v>37</v>
      </c>
      <c r="AK6" s="9" t="s">
        <v>37</v>
      </c>
      <c r="AL6" s="9" t="s">
        <v>37</v>
      </c>
      <c r="AM6" s="9" t="s">
        <v>37</v>
      </c>
      <c r="AN6" s="9" t="s">
        <v>37</v>
      </c>
      <c r="AO6" s="6">
        <f t="shared" si="0"/>
        <v>1023000</v>
      </c>
      <c r="AP6" s="6">
        <f t="shared" si="1"/>
        <v>0</v>
      </c>
      <c r="AQ6" s="6"/>
    </row>
    <row r="7" spans="1:43" x14ac:dyDescent="0.25">
      <c r="A7" s="9">
        <f>_xlfn.XLOOKUP(B7,[1]DS!$B$2:$B$40,[1]DS!$A$2:$A$40)</f>
        <v>4</v>
      </c>
      <c r="B7" s="16" t="s">
        <v>46</v>
      </c>
      <c r="C7" s="14" t="s">
        <v>45</v>
      </c>
      <c r="D7" s="14" t="s">
        <v>40</v>
      </c>
      <c r="E7" s="9" t="str">
        <f>_xlfn.XLOOKUP(B7,[1]DS!$B$2:$B$40,[1]DS!$F$2:$F$40)</f>
        <v>Phòng Hành chính-Tổng hợp</v>
      </c>
      <c r="F7" s="9" t="str">
        <f>_xlfn.XLOOKUP(B7,[1]DS!$B$2:$B$40,[1]DS!$G$2:$G$40)</f>
        <v>Nhân viên lái xe</v>
      </c>
      <c r="G7" s="9" t="s">
        <v>41</v>
      </c>
      <c r="H7" s="9" t="s">
        <v>41</v>
      </c>
      <c r="I7" s="9" t="s">
        <v>41</v>
      </c>
      <c r="J7" s="9" t="s">
        <v>41</v>
      </c>
      <c r="K7" s="9" t="s">
        <v>41</v>
      </c>
      <c r="L7" s="9" t="s">
        <v>37</v>
      </c>
      <c r="M7" s="9" t="s">
        <v>37</v>
      </c>
      <c r="N7" s="9" t="s">
        <v>41</v>
      </c>
      <c r="O7" s="9" t="s">
        <v>41</v>
      </c>
      <c r="P7" s="9" t="s">
        <v>41</v>
      </c>
      <c r="Q7" s="9" t="s">
        <v>41</v>
      </c>
      <c r="R7" s="9" t="s">
        <v>41</v>
      </c>
      <c r="S7" s="9" t="s">
        <v>41</v>
      </c>
      <c r="T7" s="9" t="s">
        <v>41</v>
      </c>
      <c r="U7" s="9" t="s">
        <v>41</v>
      </c>
      <c r="V7" s="9" t="s">
        <v>41</v>
      </c>
      <c r="W7" s="9" t="s">
        <v>41</v>
      </c>
      <c r="X7" s="9" t="s">
        <v>41</v>
      </c>
      <c r="Y7" s="9" t="s">
        <v>41</v>
      </c>
      <c r="Z7" s="9" t="s">
        <v>41</v>
      </c>
      <c r="AA7" s="9" t="s">
        <v>41</v>
      </c>
      <c r="AB7" s="9" t="s">
        <v>41</v>
      </c>
      <c r="AC7" s="9" t="s">
        <v>41</v>
      </c>
      <c r="AD7" s="9" t="s">
        <v>41</v>
      </c>
      <c r="AE7" s="9" t="s">
        <v>37</v>
      </c>
      <c r="AF7" s="9" t="s">
        <v>37</v>
      </c>
      <c r="AG7" s="9" t="s">
        <v>37</v>
      </c>
      <c r="AH7" s="9" t="s">
        <v>37</v>
      </c>
      <c r="AI7" s="9" t="s">
        <v>37</v>
      </c>
      <c r="AJ7" s="9" t="s">
        <v>37</v>
      </c>
      <c r="AK7" s="9" t="s">
        <v>37</v>
      </c>
      <c r="AL7" s="9" t="s">
        <v>37</v>
      </c>
      <c r="AM7" s="9" t="s">
        <v>37</v>
      </c>
      <c r="AN7" s="9" t="s">
        <v>37</v>
      </c>
      <c r="AO7" s="6">
        <f t="shared" si="0"/>
        <v>1439000</v>
      </c>
      <c r="AP7" s="6">
        <f t="shared" si="1"/>
        <v>0</v>
      </c>
      <c r="AQ7" s="6"/>
    </row>
    <row r="8" spans="1:43" ht="30" x14ac:dyDescent="0.25">
      <c r="A8" s="9">
        <f>_xlfn.XLOOKUP(B8,[1]DS!$B$2:$B$40,[1]DS!$A$2:$A$40)</f>
        <v>5</v>
      </c>
      <c r="B8" s="16" t="s">
        <v>93</v>
      </c>
      <c r="C8" s="14" t="s">
        <v>94</v>
      </c>
      <c r="D8" s="14" t="s">
        <v>40</v>
      </c>
      <c r="E8" s="9" t="str">
        <f>_xlfn.XLOOKUP(B8,[1]DS!$B$2:$B$40,[1]DS!$F$2:$F$40)</f>
        <v>Phòng Kế hoạch</v>
      </c>
      <c r="F8" s="9" t="str">
        <f>_xlfn.XLOOKUP(B8,[1]DS!$B$2:$B$40,[1]DS!$G$2:$G$40)</f>
        <v>Trưởng phòng</v>
      </c>
      <c r="G8" s="9" t="s">
        <v>41</v>
      </c>
      <c r="H8" s="9" t="s">
        <v>41</v>
      </c>
      <c r="I8" s="9" t="s">
        <v>41</v>
      </c>
      <c r="J8" s="9" t="s">
        <v>41</v>
      </c>
      <c r="K8" s="9" t="s">
        <v>41</v>
      </c>
      <c r="L8" s="9" t="s">
        <v>37</v>
      </c>
      <c r="M8" s="9" t="s">
        <v>37</v>
      </c>
      <c r="N8" s="9" t="s">
        <v>41</v>
      </c>
      <c r="O8" s="9" t="s">
        <v>41</v>
      </c>
      <c r="P8" s="9" t="s">
        <v>41</v>
      </c>
      <c r="Q8" s="9" t="s">
        <v>41</v>
      </c>
      <c r="R8" s="9" t="s">
        <v>41</v>
      </c>
      <c r="S8" s="9" t="s">
        <v>41</v>
      </c>
      <c r="T8" s="9" t="s">
        <v>41</v>
      </c>
      <c r="U8" s="9" t="s">
        <v>41</v>
      </c>
      <c r="V8" s="9" t="s">
        <v>41</v>
      </c>
      <c r="W8" s="9" t="s">
        <v>37</v>
      </c>
      <c r="X8" s="9" t="s">
        <v>41</v>
      </c>
      <c r="Y8" s="9" t="s">
        <v>41</v>
      </c>
      <c r="Z8" s="9" t="s">
        <v>41</v>
      </c>
      <c r="AA8" s="9" t="s">
        <v>41</v>
      </c>
      <c r="AB8" s="9" t="s">
        <v>41</v>
      </c>
      <c r="AC8" s="9" t="s">
        <v>41</v>
      </c>
      <c r="AD8" s="9" t="s">
        <v>37</v>
      </c>
      <c r="AE8" s="9" t="s">
        <v>37</v>
      </c>
      <c r="AF8" s="9" t="s">
        <v>37</v>
      </c>
      <c r="AG8" s="9" t="s">
        <v>37</v>
      </c>
      <c r="AH8" s="9" t="s">
        <v>37</v>
      </c>
      <c r="AI8" s="9" t="s">
        <v>37</v>
      </c>
      <c r="AJ8" s="9" t="s">
        <v>37</v>
      </c>
      <c r="AK8" s="9" t="s">
        <v>37</v>
      </c>
      <c r="AL8" s="9" t="s">
        <v>37</v>
      </c>
      <c r="AM8" s="9" t="s">
        <v>37</v>
      </c>
      <c r="AN8" s="9" t="s">
        <v>37</v>
      </c>
      <c r="AO8" s="6">
        <f t="shared" si="0"/>
        <v>1023000</v>
      </c>
      <c r="AP8" s="6">
        <f t="shared" si="1"/>
        <v>0</v>
      </c>
      <c r="AQ8" s="6"/>
    </row>
    <row r="9" spans="1:43" x14ac:dyDescent="0.25">
      <c r="A9" s="9">
        <f>_xlfn.XLOOKUP(B9,[1]DS!$B$2:$B$40,[1]DS!$A$2:$A$40)</f>
        <v>6</v>
      </c>
      <c r="B9" s="16" t="s">
        <v>47</v>
      </c>
      <c r="C9" s="14" t="s">
        <v>48</v>
      </c>
      <c r="D9" s="14" t="s">
        <v>40</v>
      </c>
      <c r="E9" s="9" t="str">
        <f>_xlfn.XLOOKUP(B9,[1]DS!$B$2:$B$40,[1]DS!$F$2:$F$40)</f>
        <v>Phòng Kế hoạch</v>
      </c>
      <c r="F9" s="9" t="str">
        <f>_xlfn.XLOOKUP(B9,[1]DS!$B$2:$B$40,[1]DS!$G$2:$G$40)</f>
        <v>Chuyên viên</v>
      </c>
      <c r="G9" s="9" t="s">
        <v>41</v>
      </c>
      <c r="H9" s="9" t="s">
        <v>41</v>
      </c>
      <c r="I9" s="9" t="s">
        <v>41</v>
      </c>
      <c r="J9" s="9" t="s">
        <v>41</v>
      </c>
      <c r="K9" s="9" t="s">
        <v>41</v>
      </c>
      <c r="L9" s="9" t="s">
        <v>37</v>
      </c>
      <c r="M9" s="9" t="s">
        <v>37</v>
      </c>
      <c r="N9" s="9" t="s">
        <v>41</v>
      </c>
      <c r="O9" s="9" t="s">
        <v>41</v>
      </c>
      <c r="P9" s="9" t="s">
        <v>41</v>
      </c>
      <c r="Q9" s="9" t="s">
        <v>41</v>
      </c>
      <c r="R9" s="9" t="s">
        <v>41</v>
      </c>
      <c r="S9" s="9" t="s">
        <v>41</v>
      </c>
      <c r="T9" s="9" t="s">
        <v>41</v>
      </c>
      <c r="U9" s="9" t="s">
        <v>41</v>
      </c>
      <c r="V9" s="9" t="s">
        <v>41</v>
      </c>
      <c r="W9" s="9" t="s">
        <v>37</v>
      </c>
      <c r="X9" s="9" t="s">
        <v>41</v>
      </c>
      <c r="Y9" s="9" t="s">
        <v>41</v>
      </c>
      <c r="Z9" s="9" t="s">
        <v>41</v>
      </c>
      <c r="AA9" s="9" t="s">
        <v>41</v>
      </c>
      <c r="AB9" s="9" t="s">
        <v>41</v>
      </c>
      <c r="AC9" s="9" t="s">
        <v>41</v>
      </c>
      <c r="AD9" s="9" t="s">
        <v>37</v>
      </c>
      <c r="AE9" s="9" t="s">
        <v>37</v>
      </c>
      <c r="AF9" s="9" t="s">
        <v>37</v>
      </c>
      <c r="AG9" s="9" t="s">
        <v>37</v>
      </c>
      <c r="AH9" s="9" t="s">
        <v>37</v>
      </c>
      <c r="AI9" s="9" t="s">
        <v>37</v>
      </c>
      <c r="AJ9" s="9" t="s">
        <v>37</v>
      </c>
      <c r="AK9" s="9" t="s">
        <v>37</v>
      </c>
      <c r="AL9" s="9" t="s">
        <v>37</v>
      </c>
      <c r="AM9" s="9" t="s">
        <v>37</v>
      </c>
      <c r="AN9" s="9" t="s">
        <v>37</v>
      </c>
      <c r="AO9" s="6">
        <f t="shared" si="0"/>
        <v>1023000</v>
      </c>
      <c r="AP9" s="6">
        <f t="shared" si="1"/>
        <v>0</v>
      </c>
      <c r="AQ9" s="6"/>
    </row>
    <row r="10" spans="1:43" x14ac:dyDescent="0.25">
      <c r="A10" s="9">
        <f>_xlfn.XLOOKUP(B10,[1]DS!$B$2:$B$40,[1]DS!$A$2:$A$40)</f>
        <v>7</v>
      </c>
      <c r="B10" s="16" t="s">
        <v>49</v>
      </c>
      <c r="C10" s="14" t="s">
        <v>50</v>
      </c>
      <c r="D10" s="14" t="s">
        <v>40</v>
      </c>
      <c r="E10" s="9" t="str">
        <f>_xlfn.XLOOKUP(B10,[1]DS!$B$2:$B$40,[1]DS!$F$2:$F$40)</f>
        <v xml:space="preserve">Phòng Kế hoạch </v>
      </c>
      <c r="F10" s="9" t="str">
        <f>_xlfn.XLOOKUP(B10,[1]DS!$B$2:$B$40,[1]DS!$G$2:$G$40)</f>
        <v>Chuyên viên</v>
      </c>
      <c r="G10" s="9" t="s">
        <v>41</v>
      </c>
      <c r="H10" s="9" t="s">
        <v>41</v>
      </c>
      <c r="I10" s="9" t="s">
        <v>41</v>
      </c>
      <c r="J10" s="9" t="s">
        <v>41</v>
      </c>
      <c r="K10" s="9" t="s">
        <v>41</v>
      </c>
      <c r="L10" s="9" t="s">
        <v>37</v>
      </c>
      <c r="M10" s="9" t="s">
        <v>37</v>
      </c>
      <c r="N10" s="9" t="s">
        <v>41</v>
      </c>
      <c r="O10" s="9" t="s">
        <v>41</v>
      </c>
      <c r="P10" s="9" t="s">
        <v>41</v>
      </c>
      <c r="Q10" s="9" t="s">
        <v>41</v>
      </c>
      <c r="R10" s="9" t="s">
        <v>41</v>
      </c>
      <c r="S10" s="9" t="s">
        <v>41</v>
      </c>
      <c r="T10" s="9" t="s">
        <v>41</v>
      </c>
      <c r="U10" s="9" t="s">
        <v>41</v>
      </c>
      <c r="V10" s="9" t="s">
        <v>41</v>
      </c>
      <c r="W10" s="9" t="s">
        <v>37</v>
      </c>
      <c r="X10" s="9" t="s">
        <v>41</v>
      </c>
      <c r="Y10" s="9" t="s">
        <v>41</v>
      </c>
      <c r="Z10" s="9" t="s">
        <v>41</v>
      </c>
      <c r="AA10" s="9" t="s">
        <v>41</v>
      </c>
      <c r="AB10" s="9" t="s">
        <v>41</v>
      </c>
      <c r="AC10" s="9" t="s">
        <v>41</v>
      </c>
      <c r="AD10" s="9" t="s">
        <v>37</v>
      </c>
      <c r="AE10" s="9" t="s">
        <v>37</v>
      </c>
      <c r="AF10" s="9" t="s">
        <v>37</v>
      </c>
      <c r="AG10" s="9" t="s">
        <v>37</v>
      </c>
      <c r="AH10" s="9" t="s">
        <v>37</v>
      </c>
      <c r="AI10" s="9" t="s">
        <v>37</v>
      </c>
      <c r="AJ10" s="9" t="s">
        <v>37</v>
      </c>
      <c r="AK10" s="9" t="s">
        <v>37</v>
      </c>
      <c r="AL10" s="9" t="s">
        <v>37</v>
      </c>
      <c r="AM10" s="9" t="s">
        <v>37</v>
      </c>
      <c r="AN10" s="9" t="s">
        <v>37</v>
      </c>
      <c r="AO10" s="6">
        <f t="shared" si="0"/>
        <v>1023000</v>
      </c>
      <c r="AP10" s="6">
        <f t="shared" si="1"/>
        <v>0</v>
      </c>
      <c r="AQ10" s="6"/>
    </row>
    <row r="11" spans="1:43" x14ac:dyDescent="0.25">
      <c r="A11" s="9">
        <f>_xlfn.XLOOKUP(B11,[1]DS!$B$2:$B$40,[1]DS!$A$2:$A$40)</f>
        <v>8</v>
      </c>
      <c r="B11" s="16" t="s">
        <v>51</v>
      </c>
      <c r="C11" s="14" t="s">
        <v>52</v>
      </c>
      <c r="D11" s="14" t="s">
        <v>40</v>
      </c>
      <c r="E11" s="9" t="str">
        <f>_xlfn.XLOOKUP(B11,[1]DS!$B$2:$B$40,[1]DS!$F$2:$F$40)</f>
        <v xml:space="preserve">Phòng Kế hoạch </v>
      </c>
      <c r="F11" s="9" t="str">
        <f>_xlfn.XLOOKUP(B11,[1]DS!$B$2:$B$40,[1]DS!$G$2:$G$40)</f>
        <v>Chuyên viên</v>
      </c>
      <c r="G11" s="9" t="s">
        <v>41</v>
      </c>
      <c r="H11" s="9" t="s">
        <v>41</v>
      </c>
      <c r="I11" s="9" t="s">
        <v>41</v>
      </c>
      <c r="J11" s="9" t="s">
        <v>41</v>
      </c>
      <c r="K11" s="9" t="s">
        <v>41</v>
      </c>
      <c r="L11" s="9" t="s">
        <v>37</v>
      </c>
      <c r="M11" s="9" t="s">
        <v>37</v>
      </c>
      <c r="N11" s="9" t="s">
        <v>41</v>
      </c>
      <c r="O11" s="9" t="s">
        <v>41</v>
      </c>
      <c r="P11" s="9" t="s">
        <v>41</v>
      </c>
      <c r="Q11" s="9" t="s">
        <v>41</v>
      </c>
      <c r="R11" s="9" t="s">
        <v>41</v>
      </c>
      <c r="S11" s="9" t="s">
        <v>41</v>
      </c>
      <c r="T11" s="9" t="s">
        <v>41</v>
      </c>
      <c r="U11" s="9" t="s">
        <v>41</v>
      </c>
      <c r="V11" s="9" t="s">
        <v>41</v>
      </c>
      <c r="W11" s="9" t="s">
        <v>37</v>
      </c>
      <c r="X11" s="9" t="s">
        <v>41</v>
      </c>
      <c r="Y11" s="9" t="s">
        <v>41</v>
      </c>
      <c r="Z11" s="9" t="s">
        <v>41</v>
      </c>
      <c r="AA11" s="9" t="s">
        <v>41</v>
      </c>
      <c r="AB11" s="9" t="s">
        <v>41</v>
      </c>
      <c r="AC11" s="9" t="s">
        <v>41</v>
      </c>
      <c r="AD11" s="9" t="s">
        <v>37</v>
      </c>
      <c r="AE11" s="9" t="s">
        <v>37</v>
      </c>
      <c r="AF11" s="9" t="s">
        <v>37</v>
      </c>
      <c r="AG11" s="9" t="s">
        <v>37</v>
      </c>
      <c r="AH11" s="9" t="s">
        <v>37</v>
      </c>
      <c r="AI11" s="9" t="s">
        <v>37</v>
      </c>
      <c r="AJ11" s="9" t="s">
        <v>37</v>
      </c>
      <c r="AK11" s="9" t="s">
        <v>37</v>
      </c>
      <c r="AL11" s="9" t="s">
        <v>37</v>
      </c>
      <c r="AM11" s="9" t="s">
        <v>37</v>
      </c>
      <c r="AN11" s="9" t="s">
        <v>37</v>
      </c>
      <c r="AO11" s="6">
        <f t="shared" si="0"/>
        <v>1023000</v>
      </c>
      <c r="AP11" s="6">
        <f t="shared" si="1"/>
        <v>0</v>
      </c>
      <c r="AQ11" s="6"/>
    </row>
    <row r="12" spans="1:43" x14ac:dyDescent="0.25">
      <c r="A12" s="9">
        <f>_xlfn.XLOOKUP(B12,[1]DS!$B$2:$B$40,[1]DS!$A$2:$A$40)</f>
        <v>9</v>
      </c>
      <c r="B12" s="16" t="s">
        <v>53</v>
      </c>
      <c r="C12" s="14" t="s">
        <v>54</v>
      </c>
      <c r="D12" s="14" t="s">
        <v>40</v>
      </c>
      <c r="E12" s="9" t="str">
        <f>_xlfn.XLOOKUP(B12,[1]DS!$B$2:$B$40,[1]DS!$F$2:$F$40)</f>
        <v>Phòng Kỹ Thuật</v>
      </c>
      <c r="F12" s="9" t="str">
        <f>_xlfn.XLOOKUP(B12,[1]DS!$B$2:$B$40,[1]DS!$G$2:$G$40)</f>
        <v>Trưởng phòng</v>
      </c>
      <c r="G12" s="9" t="s">
        <v>41</v>
      </c>
      <c r="H12" s="9" t="s">
        <v>41</v>
      </c>
      <c r="I12" s="9" t="s">
        <v>41</v>
      </c>
      <c r="J12" s="9" t="s">
        <v>41</v>
      </c>
      <c r="K12" s="9" t="s">
        <v>41</v>
      </c>
      <c r="L12" s="9" t="s">
        <v>37</v>
      </c>
      <c r="M12" s="9" t="s">
        <v>37</v>
      </c>
      <c r="N12" s="9" t="s">
        <v>41</v>
      </c>
      <c r="O12" s="9" t="s">
        <v>41</v>
      </c>
      <c r="P12" s="9" t="s">
        <v>41</v>
      </c>
      <c r="Q12" s="9" t="s">
        <v>41</v>
      </c>
      <c r="R12" s="9" t="s">
        <v>41</v>
      </c>
      <c r="S12" s="9" t="s">
        <v>41</v>
      </c>
      <c r="T12" s="9" t="s">
        <v>41</v>
      </c>
      <c r="U12" s="9" t="s">
        <v>41</v>
      </c>
      <c r="V12" s="9" t="s">
        <v>41</v>
      </c>
      <c r="W12" s="9" t="s">
        <v>37</v>
      </c>
      <c r="X12" s="9" t="s">
        <v>41</v>
      </c>
      <c r="Y12" s="9" t="s">
        <v>41</v>
      </c>
      <c r="Z12" s="9" t="s">
        <v>41</v>
      </c>
      <c r="AA12" s="9" t="s">
        <v>41</v>
      </c>
      <c r="AB12" s="9" t="s">
        <v>41</v>
      </c>
      <c r="AC12" s="9" t="s">
        <v>41</v>
      </c>
      <c r="AD12" s="9" t="s">
        <v>37</v>
      </c>
      <c r="AE12" s="9" t="s">
        <v>37</v>
      </c>
      <c r="AF12" s="9" t="s">
        <v>37</v>
      </c>
      <c r="AG12" s="9" t="s">
        <v>37</v>
      </c>
      <c r="AH12" s="9" t="s">
        <v>37</v>
      </c>
      <c r="AI12" s="9" t="s">
        <v>37</v>
      </c>
      <c r="AJ12" s="9" t="s">
        <v>37</v>
      </c>
      <c r="AK12" s="9" t="s">
        <v>37</v>
      </c>
      <c r="AL12" s="9" t="s">
        <v>37</v>
      </c>
      <c r="AM12" s="9" t="s">
        <v>37</v>
      </c>
      <c r="AN12" s="9" t="s">
        <v>37</v>
      </c>
      <c r="AO12" s="6">
        <f t="shared" si="0"/>
        <v>1023000</v>
      </c>
      <c r="AP12" s="6">
        <f t="shared" si="1"/>
        <v>0</v>
      </c>
      <c r="AQ12" s="6"/>
    </row>
    <row r="13" spans="1:43" ht="30" x14ac:dyDescent="0.25">
      <c r="A13" s="9">
        <f>_xlfn.XLOOKUP(B13,[1]DS!$B$2:$B$40,[1]DS!$A$2:$A$40)</f>
        <v>10</v>
      </c>
      <c r="B13" s="16" t="s">
        <v>104</v>
      </c>
      <c r="C13" s="14" t="s">
        <v>105</v>
      </c>
      <c r="D13" s="14" t="s">
        <v>40</v>
      </c>
      <c r="E13" s="9" t="str">
        <f>_xlfn.XLOOKUP(B13,[1]DS!$B$2:$B$40,[1]DS!$F$2:$F$40)</f>
        <v>Phòng Kỹ Thuật</v>
      </c>
      <c r="F13" s="9" t="str">
        <f>_xlfn.XLOOKUP(B13,[1]DS!$B$2:$B$40,[1]DS!$G$2:$G$40)</f>
        <v>Chuyên viên</v>
      </c>
      <c r="G13" s="9" t="s">
        <v>41</v>
      </c>
      <c r="H13" s="9" t="s">
        <v>41</v>
      </c>
      <c r="I13" s="9" t="s">
        <v>41</v>
      </c>
      <c r="J13" s="9" t="s">
        <v>41</v>
      </c>
      <c r="K13" s="9" t="s">
        <v>41</v>
      </c>
      <c r="L13" s="9" t="s">
        <v>37</v>
      </c>
      <c r="M13" s="9" t="s">
        <v>37</v>
      </c>
      <c r="N13" s="9" t="s">
        <v>41</v>
      </c>
      <c r="O13" s="9" t="s">
        <v>41</v>
      </c>
      <c r="P13" s="9" t="s">
        <v>41</v>
      </c>
      <c r="Q13" s="9" t="s">
        <v>41</v>
      </c>
      <c r="R13" s="9" t="s">
        <v>41</v>
      </c>
      <c r="S13" s="9" t="s">
        <v>41</v>
      </c>
      <c r="T13" s="9" t="s">
        <v>41</v>
      </c>
      <c r="U13" s="9" t="s">
        <v>41</v>
      </c>
      <c r="V13" s="9" t="s">
        <v>41</v>
      </c>
      <c r="W13" s="9" t="s">
        <v>37</v>
      </c>
      <c r="X13" s="9" t="s">
        <v>41</v>
      </c>
      <c r="Y13" s="9" t="s">
        <v>41</v>
      </c>
      <c r="Z13" s="9" t="s">
        <v>41</v>
      </c>
      <c r="AA13" s="9" t="s">
        <v>41</v>
      </c>
      <c r="AB13" s="9" t="s">
        <v>41</v>
      </c>
      <c r="AC13" s="9" t="s">
        <v>41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6">
        <f t="shared" si="0"/>
        <v>1023000</v>
      </c>
      <c r="AP13" s="6">
        <f t="shared" si="1"/>
        <v>0</v>
      </c>
      <c r="AQ13" s="6"/>
    </row>
    <row r="14" spans="1:43" x14ac:dyDescent="0.25">
      <c r="A14" s="9">
        <f>_xlfn.XLOOKUP(B14,[1]DS!$B$2:$B$40,[1]DS!$A$2:$A$40)</f>
        <v>11</v>
      </c>
      <c r="B14" s="16" t="s">
        <v>95</v>
      </c>
      <c r="C14" s="14" t="s">
        <v>96</v>
      </c>
      <c r="D14" s="14" t="s">
        <v>40</v>
      </c>
      <c r="E14" s="9" t="str">
        <f>_xlfn.XLOOKUP(B14,[1]DS!$B$2:$B$40,[1]DS!$F$2:$F$40)</f>
        <v>Phòng Kỹ Thuật</v>
      </c>
      <c r="F14" s="9" t="str">
        <f>_xlfn.XLOOKUP(B14,[1]DS!$B$2:$B$40,[1]DS!$G$2:$G$40)</f>
        <v>Chuyên viên</v>
      </c>
      <c r="G14" s="9" t="s">
        <v>41</v>
      </c>
      <c r="H14" s="9" t="s">
        <v>41</v>
      </c>
      <c r="I14" s="9" t="s">
        <v>41</v>
      </c>
      <c r="J14" s="9" t="s">
        <v>41</v>
      </c>
      <c r="K14" s="9" t="s">
        <v>41</v>
      </c>
      <c r="L14" s="9" t="s">
        <v>37</v>
      </c>
      <c r="M14" s="9" t="s">
        <v>37</v>
      </c>
      <c r="N14" s="9" t="s">
        <v>41</v>
      </c>
      <c r="O14" s="9" t="s">
        <v>41</v>
      </c>
      <c r="P14" s="9" t="s">
        <v>41</v>
      </c>
      <c r="Q14" s="9" t="s">
        <v>41</v>
      </c>
      <c r="R14" s="9" t="s">
        <v>41</v>
      </c>
      <c r="S14" s="9" t="s">
        <v>41</v>
      </c>
      <c r="T14" s="9" t="s">
        <v>41</v>
      </c>
      <c r="U14" s="9" t="s">
        <v>41</v>
      </c>
      <c r="V14" s="9" t="s">
        <v>41</v>
      </c>
      <c r="W14" s="9" t="s">
        <v>37</v>
      </c>
      <c r="X14" s="9" t="s">
        <v>41</v>
      </c>
      <c r="Y14" s="9" t="s">
        <v>41</v>
      </c>
      <c r="Z14" s="9" t="s">
        <v>41</v>
      </c>
      <c r="AA14" s="9" t="s">
        <v>41</v>
      </c>
      <c r="AB14" s="9" t="s">
        <v>41</v>
      </c>
      <c r="AC14" s="9" t="s">
        <v>41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6">
        <f t="shared" si="0"/>
        <v>1023000</v>
      </c>
      <c r="AP14" s="6">
        <f t="shared" si="1"/>
        <v>0</v>
      </c>
      <c r="AQ14" s="6"/>
    </row>
    <row r="15" spans="1:43" x14ac:dyDescent="0.25">
      <c r="A15" s="9">
        <f>_xlfn.XLOOKUP(B15,[1]DS!$B$2:$B$40,[1]DS!$A$2:$A$40)</f>
        <v>12</v>
      </c>
      <c r="B15" s="16" t="s">
        <v>102</v>
      </c>
      <c r="C15" s="14" t="s">
        <v>103</v>
      </c>
      <c r="D15" s="14" t="s">
        <v>40</v>
      </c>
      <c r="E15" s="9" t="str">
        <f>_xlfn.XLOOKUP(B15,[1]DS!$B$2:$B$40,[1]DS!$F$2:$F$40)</f>
        <v>Phòng Kỹ Thuật</v>
      </c>
      <c r="F15" s="9" t="str">
        <f>_xlfn.XLOOKUP(B15,[1]DS!$B$2:$B$40,[1]DS!$G$2:$G$40)</f>
        <v>Chuyên viên</v>
      </c>
      <c r="G15" s="9" t="s">
        <v>41</v>
      </c>
      <c r="H15" s="9" t="s">
        <v>41</v>
      </c>
      <c r="I15" s="9" t="s">
        <v>41</v>
      </c>
      <c r="J15" s="9" t="s">
        <v>41</v>
      </c>
      <c r="K15" s="9" t="s">
        <v>41</v>
      </c>
      <c r="L15" s="9" t="s">
        <v>37</v>
      </c>
      <c r="M15" s="9" t="s">
        <v>37</v>
      </c>
      <c r="N15" s="9" t="s">
        <v>41</v>
      </c>
      <c r="O15" s="9" t="s">
        <v>41</v>
      </c>
      <c r="P15" s="9" t="s">
        <v>41</v>
      </c>
      <c r="Q15" s="9" t="s">
        <v>41</v>
      </c>
      <c r="R15" s="9" t="s">
        <v>41</v>
      </c>
      <c r="S15" s="9" t="s">
        <v>41</v>
      </c>
      <c r="T15" s="9" t="s">
        <v>41</v>
      </c>
      <c r="U15" s="9" t="s">
        <v>41</v>
      </c>
      <c r="V15" s="9" t="s">
        <v>41</v>
      </c>
      <c r="W15" s="9" t="s">
        <v>37</v>
      </c>
      <c r="X15" s="9" t="s">
        <v>41</v>
      </c>
      <c r="Y15" s="9" t="s">
        <v>41</v>
      </c>
      <c r="Z15" s="9" t="s">
        <v>41</v>
      </c>
      <c r="AA15" s="9" t="s">
        <v>41</v>
      </c>
      <c r="AB15" s="9" t="s">
        <v>41</v>
      </c>
      <c r="AC15" s="9" t="s">
        <v>41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6">
        <f t="shared" si="0"/>
        <v>1023000</v>
      </c>
      <c r="AP15" s="6">
        <f t="shared" si="1"/>
        <v>0</v>
      </c>
      <c r="AQ15" s="6"/>
    </row>
    <row r="16" spans="1:43" x14ac:dyDescent="0.25">
      <c r="A16" s="9">
        <f>_xlfn.XLOOKUP(B16,[1]DS!$B$2:$B$40,[1]DS!$A$2:$A$40)</f>
        <v>13</v>
      </c>
      <c r="B16" s="16" t="s">
        <v>55</v>
      </c>
      <c r="C16" s="14" t="s">
        <v>43</v>
      </c>
      <c r="D16" s="14" t="s">
        <v>40</v>
      </c>
      <c r="E16" s="9" t="str">
        <f>_xlfn.XLOOKUP(B16,[1]DS!$B$2:$B$40,[1]DS!$F$2:$F$40)</f>
        <v>Phòng QL KCN DVTS Đà Nẵng</v>
      </c>
      <c r="F16" s="9" t="str">
        <f>_xlfn.XLOOKUP(B16,[1]DS!$B$2:$B$40,[1]DS!$G$2:$G$40)</f>
        <v>Trưởng phòng</v>
      </c>
      <c r="G16" s="9" t="s">
        <v>41</v>
      </c>
      <c r="H16" s="9" t="s">
        <v>41</v>
      </c>
      <c r="I16" s="9" t="s">
        <v>41</v>
      </c>
      <c r="J16" s="9" t="s">
        <v>41</v>
      </c>
      <c r="K16" s="9" t="s">
        <v>41</v>
      </c>
      <c r="L16" s="9" t="s">
        <v>37</v>
      </c>
      <c r="M16" s="9" t="s">
        <v>37</v>
      </c>
      <c r="N16" s="9" t="s">
        <v>41</v>
      </c>
      <c r="O16" s="9" t="s">
        <v>41</v>
      </c>
      <c r="P16" s="9" t="s">
        <v>41</v>
      </c>
      <c r="Q16" s="9" t="s">
        <v>41</v>
      </c>
      <c r="R16" s="9" t="s">
        <v>41</v>
      </c>
      <c r="S16" s="9" t="s">
        <v>41</v>
      </c>
      <c r="T16" s="9" t="s">
        <v>41</v>
      </c>
      <c r="U16" s="9" t="s">
        <v>41</v>
      </c>
      <c r="V16" s="9" t="s">
        <v>41</v>
      </c>
      <c r="W16" s="9" t="s">
        <v>37</v>
      </c>
      <c r="X16" s="9" t="s">
        <v>41</v>
      </c>
      <c r="Y16" s="9" t="s">
        <v>41</v>
      </c>
      <c r="Z16" s="9" t="s">
        <v>41</v>
      </c>
      <c r="AA16" s="9" t="s">
        <v>41</v>
      </c>
      <c r="AB16" s="9" t="s">
        <v>41</v>
      </c>
      <c r="AC16" s="9" t="s">
        <v>41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6">
        <f t="shared" si="0"/>
        <v>1023000</v>
      </c>
      <c r="AP16" s="6">
        <f t="shared" si="1"/>
        <v>0</v>
      </c>
      <c r="AQ16" s="6"/>
    </row>
    <row r="17" spans="1:43" x14ac:dyDescent="0.25">
      <c r="A17" s="9">
        <f>_xlfn.XLOOKUP(B17,[1]DS!$B$2:$B$40,[1]DS!$A$2:$A$40)</f>
        <v>14</v>
      </c>
      <c r="B17" s="16" t="s">
        <v>56</v>
      </c>
      <c r="C17" s="14" t="s">
        <v>57</v>
      </c>
      <c r="D17" s="14" t="s">
        <v>40</v>
      </c>
      <c r="E17" s="9" t="str">
        <f>_xlfn.XLOOKUP(B17,[1]DS!$B$2:$B$40,[1]DS!$F$2:$F$40)</f>
        <v>Phòng QL KCN DVTS Đà Nẵng</v>
      </c>
      <c r="F17" s="9" t="str">
        <f>_xlfn.XLOOKUP(B17,[1]DS!$B$2:$B$40,[1]DS!$G$2:$G$40)</f>
        <v>Cán sự</v>
      </c>
      <c r="G17" s="9" t="s">
        <v>41</v>
      </c>
      <c r="H17" s="9" t="s">
        <v>41</v>
      </c>
      <c r="I17" s="9" t="s">
        <v>41</v>
      </c>
      <c r="J17" s="9" t="s">
        <v>41</v>
      </c>
      <c r="K17" s="9" t="s">
        <v>41</v>
      </c>
      <c r="L17" s="9" t="s">
        <v>37</v>
      </c>
      <c r="M17" s="9" t="s">
        <v>37</v>
      </c>
      <c r="N17" s="9" t="s">
        <v>41</v>
      </c>
      <c r="O17" s="9" t="s">
        <v>41</v>
      </c>
      <c r="P17" s="9" t="s">
        <v>41</v>
      </c>
      <c r="Q17" s="9" t="s">
        <v>41</v>
      </c>
      <c r="R17" s="9" t="s">
        <v>41</v>
      </c>
      <c r="S17" s="9" t="s">
        <v>41</v>
      </c>
      <c r="T17" s="9" t="s">
        <v>41</v>
      </c>
      <c r="U17" s="9" t="s">
        <v>41</v>
      </c>
      <c r="V17" s="9" t="s">
        <v>41</v>
      </c>
      <c r="W17" s="9" t="s">
        <v>37</v>
      </c>
      <c r="X17" s="9" t="s">
        <v>41</v>
      </c>
      <c r="Y17" s="9" t="s">
        <v>41</v>
      </c>
      <c r="Z17" s="9" t="s">
        <v>41</v>
      </c>
      <c r="AA17" s="9" t="s">
        <v>41</v>
      </c>
      <c r="AB17" s="9" t="s">
        <v>41</v>
      </c>
      <c r="AC17" s="9" t="s">
        <v>41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6">
        <f t="shared" si="0"/>
        <v>1023000</v>
      </c>
      <c r="AP17" s="6">
        <f t="shared" si="1"/>
        <v>0</v>
      </c>
      <c r="AQ17" s="6"/>
    </row>
    <row r="18" spans="1:43" x14ac:dyDescent="0.25">
      <c r="A18" s="9">
        <f>_xlfn.XLOOKUP(B18,[1]DS!$B$2:$B$40,[1]DS!$A$2:$A$40)</f>
        <v>15</v>
      </c>
      <c r="B18" s="16" t="s">
        <v>58</v>
      </c>
      <c r="C18" s="14" t="s">
        <v>59</v>
      </c>
      <c r="D18" s="14" t="s">
        <v>40</v>
      </c>
      <c r="E18" s="9" t="str">
        <f>_xlfn.XLOOKUP(B18,[1]DS!$B$2:$B$40,[1]DS!$F$2:$F$40)</f>
        <v>Phòng QL KCN DVTS Đà Nẵng</v>
      </c>
      <c r="F18" s="9" t="str">
        <f>_xlfn.XLOOKUP(B18,[1]DS!$B$2:$B$40,[1]DS!$G$2:$G$40)</f>
        <v>Nhân viên bảo vệ</v>
      </c>
      <c r="G18" s="9" t="s">
        <v>41</v>
      </c>
      <c r="H18" s="9" t="s">
        <v>41</v>
      </c>
      <c r="I18" s="9" t="s">
        <v>41</v>
      </c>
      <c r="J18" s="9" t="s">
        <v>41</v>
      </c>
      <c r="K18" s="9" t="s">
        <v>41</v>
      </c>
      <c r="L18" s="9" t="s">
        <v>37</v>
      </c>
      <c r="M18" s="9" t="s">
        <v>37</v>
      </c>
      <c r="N18" s="9" t="s">
        <v>41</v>
      </c>
      <c r="O18" s="9" t="s">
        <v>41</v>
      </c>
      <c r="P18" s="9" t="s">
        <v>41</v>
      </c>
      <c r="Q18" s="9" t="s">
        <v>37</v>
      </c>
      <c r="R18" s="9" t="s">
        <v>41</v>
      </c>
      <c r="S18" s="9" t="s">
        <v>41</v>
      </c>
      <c r="T18" s="9" t="s">
        <v>41</v>
      </c>
      <c r="U18" s="9" t="s">
        <v>41</v>
      </c>
      <c r="V18" s="9" t="s">
        <v>41</v>
      </c>
      <c r="W18" s="9" t="s">
        <v>37</v>
      </c>
      <c r="X18" s="9" t="s">
        <v>41</v>
      </c>
      <c r="Y18" s="9" t="s">
        <v>41</v>
      </c>
      <c r="Z18" s="9" t="s">
        <v>41</v>
      </c>
      <c r="AA18" s="9" t="s">
        <v>41</v>
      </c>
      <c r="AB18" s="9" t="s">
        <v>41</v>
      </c>
      <c r="AC18" s="9" t="s">
        <v>41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6">
        <f t="shared" si="0"/>
        <v>921000</v>
      </c>
      <c r="AP18" s="6">
        <f t="shared" si="1"/>
        <v>0</v>
      </c>
      <c r="AQ18" s="6" t="s">
        <v>115</v>
      </c>
    </row>
    <row r="19" spans="1:43" x14ac:dyDescent="0.25">
      <c r="A19" s="9">
        <f>_xlfn.XLOOKUP(B19,[1]DS!$B$2:$B$40,[1]DS!$A$2:$A$40)</f>
        <v>16</v>
      </c>
      <c r="B19" s="16" t="s">
        <v>60</v>
      </c>
      <c r="C19" s="14" t="s">
        <v>59</v>
      </c>
      <c r="D19" s="14" t="s">
        <v>40</v>
      </c>
      <c r="E19" s="9" t="str">
        <f>_xlfn.XLOOKUP(B19,[1]DS!$B$2:$B$40,[1]DS!$F$2:$F$40)</f>
        <v>Phòng QL KCN DVTS Đà Nẵng</v>
      </c>
      <c r="F19" s="9" t="str">
        <f>_xlfn.XLOOKUP(B19,[1]DS!$B$2:$B$40,[1]DS!$G$2:$G$40)</f>
        <v>Nhân viên bảo vệ</v>
      </c>
      <c r="G19" s="9" t="s">
        <v>41</v>
      </c>
      <c r="H19" s="9" t="s">
        <v>41</v>
      </c>
      <c r="I19" s="9" t="s">
        <v>41</v>
      </c>
      <c r="J19" s="9" t="s">
        <v>41</v>
      </c>
      <c r="K19" s="9" t="s">
        <v>41</v>
      </c>
      <c r="L19" s="9" t="s">
        <v>37</v>
      </c>
      <c r="M19" s="9" t="s">
        <v>37</v>
      </c>
      <c r="N19" s="9" t="s">
        <v>41</v>
      </c>
      <c r="O19" s="9" t="s">
        <v>41</v>
      </c>
      <c r="P19" s="9" t="s">
        <v>41</v>
      </c>
      <c r="Q19" s="9" t="s">
        <v>41</v>
      </c>
      <c r="R19" s="9" t="s">
        <v>41</v>
      </c>
      <c r="S19" s="9" t="s">
        <v>41</v>
      </c>
      <c r="T19" s="9" t="s">
        <v>41</v>
      </c>
      <c r="U19" s="9" t="s">
        <v>41</v>
      </c>
      <c r="V19" s="9" t="s">
        <v>41</v>
      </c>
      <c r="W19" s="9" t="s">
        <v>37</v>
      </c>
      <c r="X19" s="9" t="s">
        <v>41</v>
      </c>
      <c r="Y19" s="9" t="s">
        <v>41</v>
      </c>
      <c r="Z19" s="9" t="s">
        <v>41</v>
      </c>
      <c r="AA19" s="9" t="s">
        <v>41</v>
      </c>
      <c r="AB19" s="9" t="s">
        <v>41</v>
      </c>
      <c r="AC19" s="9" t="s">
        <v>41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6">
        <f t="shared" si="0"/>
        <v>1023000</v>
      </c>
      <c r="AP19" s="6">
        <f t="shared" si="1"/>
        <v>0</v>
      </c>
      <c r="AQ19" s="6"/>
    </row>
    <row r="20" spans="1:43" x14ac:dyDescent="0.25">
      <c r="A20" s="9">
        <f>_xlfn.XLOOKUP(B20,[1]DS!$B$2:$B$40,[1]DS!$A$2:$A$40)</f>
        <v>17</v>
      </c>
      <c r="B20" s="16" t="s">
        <v>97</v>
      </c>
      <c r="C20" s="14" t="s">
        <v>98</v>
      </c>
      <c r="D20" s="14" t="s">
        <v>40</v>
      </c>
      <c r="E20" s="9" t="str">
        <f>_xlfn.XLOOKUP(B20,[1]DS!$B$2:$B$40,[1]DS!$F$2:$F$40)</f>
        <v>Phòng QL KCN DVTS Đà Nẵng</v>
      </c>
      <c r="F20" s="9" t="str">
        <f>_xlfn.XLOOKUP(B20,[1]DS!$B$2:$B$40,[1]DS!$G$2:$G$40)</f>
        <v>Nhân viên bảo vệ</v>
      </c>
      <c r="G20" s="9" t="s">
        <v>41</v>
      </c>
      <c r="H20" s="9" t="s">
        <v>41</v>
      </c>
      <c r="I20" s="9" t="s">
        <v>41</v>
      </c>
      <c r="J20" s="9" t="s">
        <v>41</v>
      </c>
      <c r="K20" s="9" t="s">
        <v>41</v>
      </c>
      <c r="L20" s="9" t="s">
        <v>37</v>
      </c>
      <c r="M20" s="9" t="s">
        <v>37</v>
      </c>
      <c r="N20" s="9" t="s">
        <v>41</v>
      </c>
      <c r="O20" s="9" t="s">
        <v>41</v>
      </c>
      <c r="P20" s="9" t="s">
        <v>41</v>
      </c>
      <c r="Q20" s="9" t="s">
        <v>41</v>
      </c>
      <c r="R20" s="9" t="s">
        <v>41</v>
      </c>
      <c r="S20" s="9" t="s">
        <v>41</v>
      </c>
      <c r="T20" s="9" t="s">
        <v>41</v>
      </c>
      <c r="U20" s="9" t="s">
        <v>41</v>
      </c>
      <c r="V20" s="9" t="s">
        <v>41</v>
      </c>
      <c r="W20" s="9" t="s">
        <v>37</v>
      </c>
      <c r="X20" s="9" t="s">
        <v>41</v>
      </c>
      <c r="Y20" s="9" t="s">
        <v>41</v>
      </c>
      <c r="Z20" s="9" t="s">
        <v>41</v>
      </c>
      <c r="AA20" s="9" t="s">
        <v>41</v>
      </c>
      <c r="AB20" s="9" t="s">
        <v>41</v>
      </c>
      <c r="AC20" s="9" t="s">
        <v>41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6">
        <f t="shared" si="0"/>
        <v>1023000</v>
      </c>
      <c r="AP20" s="6">
        <f t="shared" si="1"/>
        <v>0</v>
      </c>
      <c r="AQ20" s="6"/>
    </row>
    <row r="21" spans="1:43" x14ac:dyDescent="0.25">
      <c r="A21" s="9">
        <f>_xlfn.XLOOKUP(B21,[1]DS!$B$2:$B$40,[1]DS!$A$2:$A$40)</f>
        <v>18</v>
      </c>
      <c r="B21" s="16" t="s">
        <v>113</v>
      </c>
      <c r="C21" s="14" t="s">
        <v>50</v>
      </c>
      <c r="D21" s="14" t="s">
        <v>40</v>
      </c>
      <c r="E21" s="9" t="str">
        <f>_xlfn.XLOOKUP(B21,[1]DS!$B$2:$B$40,[1]DS!$F$2:$F$40)</f>
        <v>Xí nghiệp QL&amp;DV KCN Hòa Khánh</v>
      </c>
      <c r="F21" s="9" t="str">
        <f>_xlfn.XLOOKUP(B21,[1]DS!$B$2:$B$40,[1]DS!$G$2:$G$40)</f>
        <v>Giám đốc XN</v>
      </c>
      <c r="G21" s="9" t="s">
        <v>41</v>
      </c>
      <c r="H21" s="9" t="s">
        <v>41</v>
      </c>
      <c r="I21" s="9" t="s">
        <v>41</v>
      </c>
      <c r="J21" s="9" t="s">
        <v>41</v>
      </c>
      <c r="K21" s="9" t="s">
        <v>41</v>
      </c>
      <c r="L21" s="9" t="s">
        <v>37</v>
      </c>
      <c r="M21" s="9" t="s">
        <v>37</v>
      </c>
      <c r="N21" s="9" t="s">
        <v>41</v>
      </c>
      <c r="O21" s="9" t="s">
        <v>41</v>
      </c>
      <c r="P21" s="9" t="s">
        <v>41</v>
      </c>
      <c r="Q21" s="9" t="s">
        <v>41</v>
      </c>
      <c r="R21" s="9" t="s">
        <v>41</v>
      </c>
      <c r="S21" s="9" t="s">
        <v>41</v>
      </c>
      <c r="T21" s="9" t="s">
        <v>41</v>
      </c>
      <c r="U21" s="9" t="s">
        <v>41</v>
      </c>
      <c r="V21" s="9" t="s">
        <v>41</v>
      </c>
      <c r="W21" s="9" t="s">
        <v>37</v>
      </c>
      <c r="X21" s="9" t="s">
        <v>41</v>
      </c>
      <c r="Y21" s="9" t="s">
        <v>41</v>
      </c>
      <c r="Z21" s="9" t="s">
        <v>41</v>
      </c>
      <c r="AA21" s="9" t="s">
        <v>41</v>
      </c>
      <c r="AB21" s="9" t="s">
        <v>41</v>
      </c>
      <c r="AC21" s="9" t="s">
        <v>41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41</v>
      </c>
      <c r="AO21" s="6">
        <f t="shared" si="0"/>
        <v>1023000</v>
      </c>
      <c r="AP21" s="6">
        <f t="shared" si="1"/>
        <v>225000</v>
      </c>
      <c r="AQ21" s="6"/>
    </row>
    <row r="22" spans="1:43" ht="30" x14ac:dyDescent="0.25">
      <c r="A22" s="9">
        <f>_xlfn.XLOOKUP(B22,[1]DS!$B$2:$B$40,[1]DS!$A$2:$A$40)</f>
        <v>19</v>
      </c>
      <c r="B22" s="16" t="s">
        <v>61</v>
      </c>
      <c r="C22" s="14" t="s">
        <v>62</v>
      </c>
      <c r="D22" s="14" t="s">
        <v>40</v>
      </c>
      <c r="E22" s="9" t="str">
        <f>_xlfn.XLOOKUP(B22,[1]DS!$B$2:$B$40,[1]DS!$F$2:$F$40)</f>
        <v>Xí nghiệp QL&amp;DV KCN Hòa Khánh</v>
      </c>
      <c r="F22" s="9" t="str">
        <f>_xlfn.XLOOKUP(B22,[1]DS!$B$2:$B$40,[1]DS!$G$2:$G$40)</f>
        <v>Phó giám đốc XN</v>
      </c>
      <c r="G22" s="9" t="s">
        <v>41</v>
      </c>
      <c r="H22" s="9" t="s">
        <v>41</v>
      </c>
      <c r="I22" s="9" t="s">
        <v>41</v>
      </c>
      <c r="J22" s="9" t="s">
        <v>41</v>
      </c>
      <c r="K22" s="9" t="s">
        <v>41</v>
      </c>
      <c r="L22" s="9" t="s">
        <v>37</v>
      </c>
      <c r="M22" s="9" t="s">
        <v>37</v>
      </c>
      <c r="N22" s="9" t="s">
        <v>41</v>
      </c>
      <c r="O22" s="9" t="s">
        <v>41</v>
      </c>
      <c r="P22" s="9" t="s">
        <v>41</v>
      </c>
      <c r="Q22" s="9" t="s">
        <v>41</v>
      </c>
      <c r="R22" s="9" t="s">
        <v>41</v>
      </c>
      <c r="S22" s="9" t="s">
        <v>41</v>
      </c>
      <c r="T22" s="9" t="s">
        <v>41</v>
      </c>
      <c r="U22" s="9" t="s">
        <v>41</v>
      </c>
      <c r="V22" s="9" t="s">
        <v>41</v>
      </c>
      <c r="W22" s="9" t="s">
        <v>37</v>
      </c>
      <c r="X22" s="9" t="s">
        <v>41</v>
      </c>
      <c r="Y22" s="9" t="s">
        <v>41</v>
      </c>
      <c r="Z22" s="9" t="s">
        <v>41</v>
      </c>
      <c r="AA22" s="9" t="s">
        <v>41</v>
      </c>
      <c r="AB22" s="9" t="s">
        <v>41</v>
      </c>
      <c r="AC22" s="9" t="s">
        <v>41</v>
      </c>
      <c r="AD22" s="9" t="s">
        <v>37</v>
      </c>
      <c r="AE22" s="9" t="s">
        <v>37</v>
      </c>
      <c r="AF22" s="9" t="s">
        <v>37</v>
      </c>
      <c r="AG22" s="9" t="s">
        <v>37</v>
      </c>
      <c r="AH22" s="9" t="s">
        <v>37</v>
      </c>
      <c r="AI22" s="9" t="s">
        <v>37</v>
      </c>
      <c r="AJ22" s="9" t="s">
        <v>37</v>
      </c>
      <c r="AK22" s="9" t="s">
        <v>37</v>
      </c>
      <c r="AL22" s="9" t="s">
        <v>37</v>
      </c>
      <c r="AM22" s="9" t="s">
        <v>37</v>
      </c>
      <c r="AN22" s="9" t="s">
        <v>37</v>
      </c>
      <c r="AO22" s="6">
        <f t="shared" si="0"/>
        <v>1023000</v>
      </c>
      <c r="AP22" s="6">
        <f t="shared" si="1"/>
        <v>0</v>
      </c>
      <c r="AQ22" s="6"/>
    </row>
    <row r="23" spans="1:43" x14ac:dyDescent="0.25">
      <c r="A23" s="9">
        <f>_xlfn.XLOOKUP(B23,[1]DS!$B$2:$B$40,[1]DS!$A$2:$A$40)</f>
        <v>20</v>
      </c>
      <c r="B23" s="16" t="s">
        <v>99</v>
      </c>
      <c r="C23" s="14" t="s">
        <v>70</v>
      </c>
      <c r="D23" s="14" t="s">
        <v>40</v>
      </c>
      <c r="E23" s="9" t="str">
        <f>_xlfn.XLOOKUP(B23,[1]DS!$B$2:$B$40,[1]DS!$F$2:$F$40)</f>
        <v>Xí nghiệp QL&amp;DV KCN Hòa Khánh</v>
      </c>
      <c r="F23" s="9" t="str">
        <f>_xlfn.XLOOKUP(B23,[1]DS!$B$2:$B$40,[1]DS!$G$2:$G$40)</f>
        <v>Phó giám đốc XN</v>
      </c>
      <c r="G23" s="9" t="s">
        <v>41</v>
      </c>
      <c r="H23" s="9" t="s">
        <v>41</v>
      </c>
      <c r="I23" s="9" t="s">
        <v>41</v>
      </c>
      <c r="J23" s="9" t="s">
        <v>41</v>
      </c>
      <c r="K23" s="9" t="s">
        <v>41</v>
      </c>
      <c r="L23" s="9" t="s">
        <v>37</v>
      </c>
      <c r="M23" s="9" t="s">
        <v>37</v>
      </c>
      <c r="N23" s="9" t="s">
        <v>41</v>
      </c>
      <c r="O23" s="9" t="s">
        <v>41</v>
      </c>
      <c r="P23" s="9" t="s">
        <v>41</v>
      </c>
      <c r="Q23" s="9" t="s">
        <v>41</v>
      </c>
      <c r="R23" s="9" t="s">
        <v>41</v>
      </c>
      <c r="S23" s="9" t="s">
        <v>41</v>
      </c>
      <c r="T23" s="9" t="s">
        <v>41</v>
      </c>
      <c r="U23" s="9" t="s">
        <v>41</v>
      </c>
      <c r="V23" s="9" t="s">
        <v>41</v>
      </c>
      <c r="W23" s="9" t="s">
        <v>37</v>
      </c>
      <c r="X23" s="9" t="s">
        <v>41</v>
      </c>
      <c r="Y23" s="9" t="s">
        <v>41</v>
      </c>
      <c r="Z23" s="9" t="s">
        <v>41</v>
      </c>
      <c r="AA23" s="9" t="s">
        <v>41</v>
      </c>
      <c r="AB23" s="9" t="s">
        <v>41</v>
      </c>
      <c r="AC23" s="9" t="s">
        <v>41</v>
      </c>
      <c r="AD23" s="9" t="s">
        <v>37</v>
      </c>
      <c r="AE23" s="9" t="s">
        <v>37</v>
      </c>
      <c r="AF23" s="9" t="s">
        <v>37</v>
      </c>
      <c r="AG23" s="9" t="s">
        <v>37</v>
      </c>
      <c r="AH23" s="9" t="s">
        <v>37</v>
      </c>
      <c r="AI23" s="9" t="s">
        <v>37</v>
      </c>
      <c r="AJ23" s="9" t="s">
        <v>37</v>
      </c>
      <c r="AK23" s="9" t="s">
        <v>37</v>
      </c>
      <c r="AL23" s="9" t="s">
        <v>37</v>
      </c>
      <c r="AM23" s="9" t="s">
        <v>37</v>
      </c>
      <c r="AN23" s="9" t="s">
        <v>37</v>
      </c>
      <c r="AO23" s="6">
        <f t="shared" si="0"/>
        <v>1023000</v>
      </c>
      <c r="AP23" s="6">
        <f t="shared" si="1"/>
        <v>0</v>
      </c>
      <c r="AQ23" s="6"/>
    </row>
    <row r="24" spans="1:43" x14ac:dyDescent="0.25">
      <c r="A24" s="9">
        <f>_xlfn.XLOOKUP(B24,[1]DS!$B$2:$B$40,[1]DS!$A$2:$A$40)</f>
        <v>21</v>
      </c>
      <c r="B24" s="16" t="s">
        <v>100</v>
      </c>
      <c r="C24" s="14" t="s">
        <v>45</v>
      </c>
      <c r="D24" s="14" t="s">
        <v>40</v>
      </c>
      <c r="E24" s="9" t="str">
        <f>_xlfn.XLOOKUP(B24,[1]DS!$B$2:$B$40,[1]DS!$F$2:$F$40)</f>
        <v>Xí nghiệp QL&amp;DV KCN Hòa Khánh</v>
      </c>
      <c r="F24" s="9" t="str">
        <f>_xlfn.XLOOKUP(B24,[1]DS!$B$2:$B$40,[1]DS!$G$2:$G$40)</f>
        <v>Cán sự</v>
      </c>
      <c r="G24" s="9" t="s">
        <v>41</v>
      </c>
      <c r="H24" s="9" t="s">
        <v>41</v>
      </c>
      <c r="I24" s="9" t="s">
        <v>41</v>
      </c>
      <c r="J24" s="9" t="s">
        <v>41</v>
      </c>
      <c r="K24" s="9" t="s">
        <v>41</v>
      </c>
      <c r="L24" s="9" t="s">
        <v>37</v>
      </c>
      <c r="M24" s="9" t="s">
        <v>37</v>
      </c>
      <c r="N24" s="9" t="s">
        <v>41</v>
      </c>
      <c r="O24" s="9" t="s">
        <v>41</v>
      </c>
      <c r="P24" s="9" t="s">
        <v>41</v>
      </c>
      <c r="Q24" s="9" t="s">
        <v>41</v>
      </c>
      <c r="R24" s="9" t="s">
        <v>41</v>
      </c>
      <c r="S24" s="9" t="s">
        <v>41</v>
      </c>
      <c r="T24" s="9" t="s">
        <v>41</v>
      </c>
      <c r="U24" s="9" t="s">
        <v>41</v>
      </c>
      <c r="V24" s="9" t="s">
        <v>41</v>
      </c>
      <c r="W24" s="9" t="s">
        <v>37</v>
      </c>
      <c r="X24" s="9" t="s">
        <v>41</v>
      </c>
      <c r="Y24" s="9" t="s">
        <v>41</v>
      </c>
      <c r="Z24" s="9" t="s">
        <v>41</v>
      </c>
      <c r="AA24" s="9" t="s">
        <v>41</v>
      </c>
      <c r="AB24" s="9" t="s">
        <v>41</v>
      </c>
      <c r="AC24" s="9" t="s">
        <v>41</v>
      </c>
      <c r="AD24" s="9" t="s">
        <v>37</v>
      </c>
      <c r="AE24" s="9" t="s">
        <v>37</v>
      </c>
      <c r="AF24" s="9" t="s">
        <v>37</v>
      </c>
      <c r="AG24" s="9" t="s">
        <v>37</v>
      </c>
      <c r="AH24" s="9" t="s">
        <v>37</v>
      </c>
      <c r="AI24" s="9" t="s">
        <v>37</v>
      </c>
      <c r="AJ24" s="9" t="s">
        <v>37</v>
      </c>
      <c r="AK24" s="9" t="s">
        <v>37</v>
      </c>
      <c r="AL24" s="9" t="s">
        <v>37</v>
      </c>
      <c r="AM24" s="9" t="s">
        <v>37</v>
      </c>
      <c r="AN24" s="9" t="s">
        <v>37</v>
      </c>
      <c r="AO24" s="6">
        <f t="shared" si="0"/>
        <v>1023000</v>
      </c>
      <c r="AP24" s="6">
        <f t="shared" si="1"/>
        <v>0</v>
      </c>
      <c r="AQ24" s="6"/>
    </row>
    <row r="25" spans="1:43" x14ac:dyDescent="0.25">
      <c r="A25" s="9">
        <f>_xlfn.XLOOKUP(B25,[1]DS!$B$2:$B$40,[1]DS!$A$2:$A$40)</f>
        <v>22</v>
      </c>
      <c r="B25" s="16" t="s">
        <v>63</v>
      </c>
      <c r="C25" s="14" t="s">
        <v>39</v>
      </c>
      <c r="D25" s="14" t="s">
        <v>40</v>
      </c>
      <c r="E25" s="9" t="str">
        <f>_xlfn.XLOOKUP(B25,[1]DS!$B$2:$B$40,[1]DS!$F$2:$F$40)</f>
        <v>Xí nghiệp QL&amp;DV KCN Hòa Khánh</v>
      </c>
      <c r="F25" s="9" t="str">
        <f>_xlfn.XLOOKUP(B25,[1]DS!$B$2:$B$40,[1]DS!$G$2:$G$40)</f>
        <v>Nhân viên bảo vệ</v>
      </c>
      <c r="G25" s="9" t="s">
        <v>41</v>
      </c>
      <c r="H25" s="9" t="s">
        <v>41</v>
      </c>
      <c r="I25" s="9" t="s">
        <v>41</v>
      </c>
      <c r="J25" s="9" t="s">
        <v>41</v>
      </c>
      <c r="K25" s="9" t="s">
        <v>41</v>
      </c>
      <c r="L25" s="9" t="s">
        <v>37</v>
      </c>
      <c r="M25" s="9" t="s">
        <v>37</v>
      </c>
      <c r="N25" s="9" t="s">
        <v>41</v>
      </c>
      <c r="O25" s="9" t="s">
        <v>41</v>
      </c>
      <c r="P25" s="9" t="s">
        <v>41</v>
      </c>
      <c r="Q25" s="9" t="s">
        <v>41</v>
      </c>
      <c r="R25" s="9" t="s">
        <v>41</v>
      </c>
      <c r="S25" s="9" t="s">
        <v>41</v>
      </c>
      <c r="T25" s="9" t="s">
        <v>41</v>
      </c>
      <c r="U25" s="9" t="s">
        <v>41</v>
      </c>
      <c r="V25" s="9" t="s">
        <v>41</v>
      </c>
      <c r="W25" s="9" t="s">
        <v>37</v>
      </c>
      <c r="X25" s="9" t="s">
        <v>41</v>
      </c>
      <c r="Y25" s="9" t="s">
        <v>41</v>
      </c>
      <c r="Z25" s="9" t="s">
        <v>41</v>
      </c>
      <c r="AA25" s="9" t="s">
        <v>41</v>
      </c>
      <c r="AB25" s="9" t="s">
        <v>41</v>
      </c>
      <c r="AC25" s="9" t="s">
        <v>41</v>
      </c>
      <c r="AD25" s="9" t="s">
        <v>37</v>
      </c>
      <c r="AE25" s="9" t="s">
        <v>37</v>
      </c>
      <c r="AF25" s="9" t="s">
        <v>37</v>
      </c>
      <c r="AG25" s="9" t="s">
        <v>37</v>
      </c>
      <c r="AH25" s="9" t="s">
        <v>37</v>
      </c>
      <c r="AI25" s="9" t="s">
        <v>37</v>
      </c>
      <c r="AJ25" s="9" t="s">
        <v>37</v>
      </c>
      <c r="AK25" s="9" t="s">
        <v>37</v>
      </c>
      <c r="AL25" s="9" t="s">
        <v>37</v>
      </c>
      <c r="AM25" s="9" t="s">
        <v>37</v>
      </c>
      <c r="AN25" s="9" t="s">
        <v>37</v>
      </c>
      <c r="AO25" s="6">
        <f t="shared" si="0"/>
        <v>1023000</v>
      </c>
      <c r="AP25" s="6">
        <f t="shared" si="1"/>
        <v>0</v>
      </c>
      <c r="AQ25" s="6"/>
    </row>
    <row r="26" spans="1:43" x14ac:dyDescent="0.25">
      <c r="A26" s="9">
        <f>_xlfn.XLOOKUP(B26,[1]DS!$B$2:$B$40,[1]DS!$A$2:$A$40)</f>
        <v>23</v>
      </c>
      <c r="B26" s="16" t="s">
        <v>64</v>
      </c>
      <c r="C26" s="14" t="s">
        <v>48</v>
      </c>
      <c r="D26" s="14" t="s">
        <v>40</v>
      </c>
      <c r="E26" s="9" t="str">
        <f>_xlfn.XLOOKUP(B26,[1]DS!$B$2:$B$40,[1]DS!$F$2:$F$40)</f>
        <v>Xí nghiệp QL&amp;DV KCN Hòa Khánh</v>
      </c>
      <c r="F26" s="9" t="str">
        <f>_xlfn.XLOOKUP(B26,[1]DS!$B$2:$B$40,[1]DS!$G$2:$G$40)</f>
        <v>Nhân viên lái xe</v>
      </c>
      <c r="G26" s="9" t="s">
        <v>41</v>
      </c>
      <c r="H26" s="9" t="s">
        <v>41</v>
      </c>
      <c r="I26" s="9" t="s">
        <v>41</v>
      </c>
      <c r="J26" s="9" t="s">
        <v>41</v>
      </c>
      <c r="K26" s="9" t="s">
        <v>41</v>
      </c>
      <c r="L26" s="9" t="s">
        <v>37</v>
      </c>
      <c r="M26" s="9" t="s">
        <v>37</v>
      </c>
      <c r="N26" s="9" t="s">
        <v>41</v>
      </c>
      <c r="O26" s="9" t="s">
        <v>41</v>
      </c>
      <c r="P26" s="9" t="s">
        <v>41</v>
      </c>
      <c r="Q26" s="9" t="s">
        <v>41</v>
      </c>
      <c r="R26" s="9" t="s">
        <v>41</v>
      </c>
      <c r="S26" s="9" t="s">
        <v>41</v>
      </c>
      <c r="T26" s="9" t="s">
        <v>41</v>
      </c>
      <c r="U26" s="9" t="s">
        <v>41</v>
      </c>
      <c r="V26" s="9" t="s">
        <v>41</v>
      </c>
      <c r="W26" s="9" t="s">
        <v>41</v>
      </c>
      <c r="X26" s="9" t="s">
        <v>41</v>
      </c>
      <c r="Y26" s="9" t="s">
        <v>41</v>
      </c>
      <c r="Z26" s="9" t="s">
        <v>41</v>
      </c>
      <c r="AA26" s="9" t="s">
        <v>41</v>
      </c>
      <c r="AB26" s="9" t="s">
        <v>41</v>
      </c>
      <c r="AC26" s="9" t="s">
        <v>41</v>
      </c>
      <c r="AD26" s="9" t="s">
        <v>41</v>
      </c>
      <c r="AE26" s="9" t="s">
        <v>37</v>
      </c>
      <c r="AF26" s="9" t="s">
        <v>41</v>
      </c>
      <c r="AG26" s="9" t="s">
        <v>37</v>
      </c>
      <c r="AH26" s="9" t="s">
        <v>37</v>
      </c>
      <c r="AI26" s="9" t="s">
        <v>37</v>
      </c>
      <c r="AJ26" s="9" t="s">
        <v>37</v>
      </c>
      <c r="AK26" s="9" t="s">
        <v>37</v>
      </c>
      <c r="AL26" s="9" t="s">
        <v>37</v>
      </c>
      <c r="AM26" s="9" t="s">
        <v>37</v>
      </c>
      <c r="AN26" s="9" t="s">
        <v>37</v>
      </c>
      <c r="AO26" s="6">
        <f t="shared" si="0"/>
        <v>1439000</v>
      </c>
      <c r="AP26" s="6">
        <f t="shared" si="1"/>
        <v>198000</v>
      </c>
      <c r="AQ26" s="6"/>
    </row>
    <row r="27" spans="1:43" ht="30" x14ac:dyDescent="0.25">
      <c r="A27" s="9">
        <f>_xlfn.XLOOKUP(B27,[1]DS!$B$2:$B$40,[1]DS!$A$2:$A$40)</f>
        <v>24</v>
      </c>
      <c r="B27" s="16" t="s">
        <v>65</v>
      </c>
      <c r="C27" s="14" t="s">
        <v>66</v>
      </c>
      <c r="D27" s="14" t="s">
        <v>40</v>
      </c>
      <c r="E27" s="9" t="str">
        <f>_xlfn.XLOOKUP(B27,[1]DS!$B$2:$B$40,[1]DS!$F$2:$F$40)</f>
        <v>Xí nghiệp QL&amp;DV KCN Hòa Khánh</v>
      </c>
      <c r="F27" s="9" t="str">
        <f>_xlfn.XLOOKUP(B27,[1]DS!$B$2:$B$40,[1]DS!$G$2:$G$40)</f>
        <v>Nhân viên lái xe</v>
      </c>
      <c r="G27" s="9" t="s">
        <v>41</v>
      </c>
      <c r="H27" s="9" t="s">
        <v>41</v>
      </c>
      <c r="I27" s="9" t="s">
        <v>41</v>
      </c>
      <c r="J27" s="9" t="s">
        <v>41</v>
      </c>
      <c r="K27" s="9" t="s">
        <v>41</v>
      </c>
      <c r="L27" s="9" t="s">
        <v>37</v>
      </c>
      <c r="M27" s="9" t="s">
        <v>37</v>
      </c>
      <c r="N27" s="9" t="s">
        <v>41</v>
      </c>
      <c r="O27" s="9" t="s">
        <v>41</v>
      </c>
      <c r="P27" s="9" t="s">
        <v>41</v>
      </c>
      <c r="Q27" s="9" t="s">
        <v>41</v>
      </c>
      <c r="R27" s="9" t="s">
        <v>41</v>
      </c>
      <c r="S27" s="9" t="s">
        <v>41</v>
      </c>
      <c r="T27" s="9" t="s">
        <v>41</v>
      </c>
      <c r="U27" s="9" t="s">
        <v>41</v>
      </c>
      <c r="V27" s="9" t="s">
        <v>41</v>
      </c>
      <c r="W27" s="9" t="s">
        <v>41</v>
      </c>
      <c r="X27" s="9" t="s">
        <v>41</v>
      </c>
      <c r="Y27" s="9" t="s">
        <v>41</v>
      </c>
      <c r="Z27" s="9" t="s">
        <v>41</v>
      </c>
      <c r="AA27" s="9" t="s">
        <v>41</v>
      </c>
      <c r="AB27" s="9" t="s">
        <v>41</v>
      </c>
      <c r="AC27" s="9" t="s">
        <v>41</v>
      </c>
      <c r="AD27" s="9" t="s">
        <v>41</v>
      </c>
      <c r="AE27" s="9" t="s">
        <v>37</v>
      </c>
      <c r="AF27" s="9" t="s">
        <v>37</v>
      </c>
      <c r="AG27" s="9" t="s">
        <v>37</v>
      </c>
      <c r="AH27" s="9" t="s">
        <v>37</v>
      </c>
      <c r="AI27" s="9" t="s">
        <v>37</v>
      </c>
      <c r="AJ27" s="9" t="s">
        <v>37</v>
      </c>
      <c r="AK27" s="9" t="s">
        <v>37</v>
      </c>
      <c r="AL27" s="9" t="s">
        <v>37</v>
      </c>
      <c r="AM27" s="9" t="s">
        <v>37</v>
      </c>
      <c r="AN27" s="9" t="s">
        <v>37</v>
      </c>
      <c r="AO27" s="6">
        <f t="shared" si="0"/>
        <v>1439000</v>
      </c>
      <c r="AP27" s="6">
        <f t="shared" si="1"/>
        <v>0</v>
      </c>
      <c r="AQ27" s="6"/>
    </row>
    <row r="28" spans="1:43" x14ac:dyDescent="0.25">
      <c r="A28" s="9">
        <f>_xlfn.XLOOKUP(B28,[1]DS!$B$2:$B$40,[1]DS!$A$2:$A$40)</f>
        <v>25</v>
      </c>
      <c r="B28" s="16" t="s">
        <v>67</v>
      </c>
      <c r="C28" s="14" t="s">
        <v>68</v>
      </c>
      <c r="D28" s="14" t="s">
        <v>40</v>
      </c>
      <c r="E28" s="9" t="str">
        <f>_xlfn.XLOOKUP(B28,[1]DS!$B$2:$B$40,[1]DS!$F$2:$F$40)</f>
        <v>Xí nghiệp QL&amp;DV KCN Hòa Khánh</v>
      </c>
      <c r="F28" s="9" t="str">
        <f>_xlfn.XLOOKUP(B28,[1]DS!$B$2:$B$40,[1]DS!$G$2:$G$40)</f>
        <v>Nhân viên bảo vệ</v>
      </c>
      <c r="G28" s="9" t="s">
        <v>41</v>
      </c>
      <c r="H28" s="9" t="s">
        <v>41</v>
      </c>
      <c r="I28" s="9" t="s">
        <v>41</v>
      </c>
      <c r="J28" s="9" t="s">
        <v>41</v>
      </c>
      <c r="K28" s="9" t="s">
        <v>41</v>
      </c>
      <c r="L28" s="9" t="s">
        <v>37</v>
      </c>
      <c r="M28" s="9" t="s">
        <v>37</v>
      </c>
      <c r="N28" s="9" t="s">
        <v>41</v>
      </c>
      <c r="O28" s="9" t="s">
        <v>41</v>
      </c>
      <c r="P28" s="9" t="s">
        <v>41</v>
      </c>
      <c r="Q28" s="9" t="s">
        <v>41</v>
      </c>
      <c r="R28" s="9" t="s">
        <v>41</v>
      </c>
      <c r="S28" s="9" t="s">
        <v>41</v>
      </c>
      <c r="T28" s="9" t="s">
        <v>41</v>
      </c>
      <c r="U28" s="9" t="s">
        <v>41</v>
      </c>
      <c r="V28" s="9" t="s">
        <v>41</v>
      </c>
      <c r="W28" s="9" t="s">
        <v>37</v>
      </c>
      <c r="X28" s="9" t="s">
        <v>41</v>
      </c>
      <c r="Y28" s="9" t="s">
        <v>41</v>
      </c>
      <c r="Z28" s="9" t="s">
        <v>41</v>
      </c>
      <c r="AA28" s="9" t="s">
        <v>41</v>
      </c>
      <c r="AB28" s="9" t="s">
        <v>41</v>
      </c>
      <c r="AC28" s="9" t="s">
        <v>41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6">
        <f t="shared" si="0"/>
        <v>1023000</v>
      </c>
      <c r="AP28" s="6">
        <f t="shared" si="1"/>
        <v>0</v>
      </c>
      <c r="AQ28" s="6"/>
    </row>
    <row r="29" spans="1:43" x14ac:dyDescent="0.25">
      <c r="A29" s="9">
        <f>_xlfn.XLOOKUP(B29,[1]DS!$B$2:$B$40,[1]DS!$A$2:$A$40)</f>
        <v>26</v>
      </c>
      <c r="B29" s="16" t="s">
        <v>69</v>
      </c>
      <c r="C29" s="14" t="s">
        <v>70</v>
      </c>
      <c r="D29" s="14" t="s">
        <v>40</v>
      </c>
      <c r="E29" s="9" t="str">
        <f>_xlfn.XLOOKUP(B29,[1]DS!$B$2:$B$40,[1]DS!$F$2:$F$40)</f>
        <v>Xí nghiệp QL&amp;DV KCN Hòa Khánh</v>
      </c>
      <c r="F29" s="9" t="str">
        <f>_xlfn.XLOOKUP(B29,[1]DS!$B$2:$B$40,[1]DS!$G$2:$G$40)</f>
        <v>Nhân viên bảo vệ</v>
      </c>
      <c r="G29" s="9" t="s">
        <v>41</v>
      </c>
      <c r="H29" s="9" t="s">
        <v>41</v>
      </c>
      <c r="I29" s="9" t="s">
        <v>41</v>
      </c>
      <c r="J29" s="9" t="s">
        <v>41</v>
      </c>
      <c r="K29" s="9" t="s">
        <v>41</v>
      </c>
      <c r="L29" s="9" t="s">
        <v>37</v>
      </c>
      <c r="M29" s="9" t="s">
        <v>37</v>
      </c>
      <c r="N29" s="9" t="s">
        <v>41</v>
      </c>
      <c r="O29" s="9" t="s">
        <v>41</v>
      </c>
      <c r="P29" s="9" t="s">
        <v>41</v>
      </c>
      <c r="Q29" s="9" t="s">
        <v>41</v>
      </c>
      <c r="R29" s="9" t="s">
        <v>41</v>
      </c>
      <c r="S29" s="9" t="s">
        <v>41</v>
      </c>
      <c r="T29" s="9" t="s">
        <v>41</v>
      </c>
      <c r="U29" s="9" t="s">
        <v>41</v>
      </c>
      <c r="V29" s="9" t="s">
        <v>41</v>
      </c>
      <c r="W29" s="9" t="s">
        <v>37</v>
      </c>
      <c r="X29" s="9" t="s">
        <v>41</v>
      </c>
      <c r="Y29" s="9" t="s">
        <v>41</v>
      </c>
      <c r="Z29" s="9" t="s">
        <v>41</v>
      </c>
      <c r="AA29" s="9" t="s">
        <v>41</v>
      </c>
      <c r="AB29" s="9" t="s">
        <v>41</v>
      </c>
      <c r="AC29" s="9" t="s">
        <v>41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6">
        <f t="shared" si="0"/>
        <v>1023000</v>
      </c>
      <c r="AP29" s="6">
        <f t="shared" si="1"/>
        <v>0</v>
      </c>
      <c r="AQ29" s="6"/>
    </row>
    <row r="30" spans="1:43" x14ac:dyDescent="0.25">
      <c r="A30" s="9">
        <f>_xlfn.XLOOKUP(B30,[1]DS!$B$2:$B$40,[1]DS!$A$2:$A$40)</f>
        <v>27</v>
      </c>
      <c r="B30" s="16" t="s">
        <v>71</v>
      </c>
      <c r="C30" s="14" t="s">
        <v>72</v>
      </c>
      <c r="D30" s="14" t="s">
        <v>40</v>
      </c>
      <c r="E30" s="9" t="str">
        <f>_xlfn.XLOOKUP(B30,[1]DS!$B$2:$B$40,[1]DS!$F$2:$F$40)</f>
        <v>Xí nghiệp QL&amp;DV KCN Hòa Khánh</v>
      </c>
      <c r="F30" s="9" t="str">
        <f>_xlfn.XLOOKUP(B30,[1]DS!$B$2:$B$40,[1]DS!$G$2:$G$40)</f>
        <v>Nhân viên bảo vệ</v>
      </c>
      <c r="G30" s="9" t="s">
        <v>41</v>
      </c>
      <c r="H30" s="9" t="s">
        <v>41</v>
      </c>
      <c r="I30" s="9" t="s">
        <v>41</v>
      </c>
      <c r="J30" s="9" t="s">
        <v>41</v>
      </c>
      <c r="K30" s="9" t="s">
        <v>41</v>
      </c>
      <c r="L30" s="9" t="s">
        <v>37</v>
      </c>
      <c r="M30" s="9" t="s">
        <v>37</v>
      </c>
      <c r="N30" s="9" t="s">
        <v>41</v>
      </c>
      <c r="O30" s="9" t="s">
        <v>41</v>
      </c>
      <c r="P30" s="9" t="s">
        <v>41</v>
      </c>
      <c r="Q30" s="9" t="s">
        <v>41</v>
      </c>
      <c r="R30" s="9" t="s">
        <v>41</v>
      </c>
      <c r="S30" s="9" t="s">
        <v>41</v>
      </c>
      <c r="T30" s="9" t="s">
        <v>41</v>
      </c>
      <c r="U30" s="9" t="s">
        <v>41</v>
      </c>
      <c r="V30" s="9" t="s">
        <v>41</v>
      </c>
      <c r="W30" s="9" t="s">
        <v>37</v>
      </c>
      <c r="X30" s="9" t="s">
        <v>41</v>
      </c>
      <c r="Y30" s="9" t="s">
        <v>41</v>
      </c>
      <c r="Z30" s="9" t="s">
        <v>41</v>
      </c>
      <c r="AA30" s="9" t="s">
        <v>41</v>
      </c>
      <c r="AB30" s="9" t="s">
        <v>41</v>
      </c>
      <c r="AC30" s="9" t="s">
        <v>41</v>
      </c>
      <c r="AD30" s="9" t="s">
        <v>37</v>
      </c>
      <c r="AE30" s="9" t="s">
        <v>37</v>
      </c>
      <c r="AF30" s="9" t="s">
        <v>37</v>
      </c>
      <c r="AG30" s="9" t="s">
        <v>37</v>
      </c>
      <c r="AH30" s="9" t="s">
        <v>37</v>
      </c>
      <c r="AI30" s="9" t="s">
        <v>37</v>
      </c>
      <c r="AJ30" s="9" t="s">
        <v>37</v>
      </c>
      <c r="AK30" s="9" t="s">
        <v>37</v>
      </c>
      <c r="AL30" s="9" t="s">
        <v>37</v>
      </c>
      <c r="AM30" s="9" t="s">
        <v>37</v>
      </c>
      <c r="AN30" s="9" t="s">
        <v>37</v>
      </c>
      <c r="AO30" s="6">
        <f t="shared" si="0"/>
        <v>1023000</v>
      </c>
      <c r="AP30" s="6">
        <f t="shared" si="1"/>
        <v>0</v>
      </c>
      <c r="AQ30" s="6"/>
    </row>
    <row r="31" spans="1:43" x14ac:dyDescent="0.25">
      <c r="A31" s="9">
        <f>_xlfn.XLOOKUP(B31,[1]DS!$B$2:$B$40,[1]DS!$A$2:$A$40)</f>
        <v>28</v>
      </c>
      <c r="B31" s="16" t="s">
        <v>101</v>
      </c>
      <c r="C31" s="14" t="s">
        <v>98</v>
      </c>
      <c r="D31" s="14" t="s">
        <v>40</v>
      </c>
      <c r="E31" s="9" t="str">
        <f>_xlfn.XLOOKUP(B31,[1]DS!$B$2:$B$40,[1]DS!$F$2:$F$40)</f>
        <v>Xí nghiệp QL&amp;DV KCN Hòa Khánh</v>
      </c>
      <c r="F31" s="9" t="str">
        <f>_xlfn.XLOOKUP(B31,[1]DS!$B$2:$B$40,[1]DS!$G$2:$G$40)</f>
        <v>Nhân viên bảo vệ</v>
      </c>
      <c r="G31" s="9" t="s">
        <v>41</v>
      </c>
      <c r="H31" s="9" t="s">
        <v>41</v>
      </c>
      <c r="I31" s="9" t="s">
        <v>41</v>
      </c>
      <c r="J31" s="9" t="s">
        <v>41</v>
      </c>
      <c r="K31" s="9" t="s">
        <v>41</v>
      </c>
      <c r="L31" s="9" t="s">
        <v>37</v>
      </c>
      <c r="M31" s="9" t="s">
        <v>37</v>
      </c>
      <c r="N31" s="9" t="s">
        <v>41</v>
      </c>
      <c r="O31" s="9" t="s">
        <v>41</v>
      </c>
      <c r="P31" s="9" t="s">
        <v>41</v>
      </c>
      <c r="Q31" s="9" t="s">
        <v>41</v>
      </c>
      <c r="R31" s="9" t="s">
        <v>41</v>
      </c>
      <c r="S31" s="9" t="s">
        <v>41</v>
      </c>
      <c r="T31" s="9" t="s">
        <v>41</v>
      </c>
      <c r="U31" s="9" t="s">
        <v>41</v>
      </c>
      <c r="V31" s="9" t="s">
        <v>41</v>
      </c>
      <c r="W31" s="9" t="s">
        <v>37</v>
      </c>
      <c r="X31" s="9" t="s">
        <v>41</v>
      </c>
      <c r="Y31" s="9" t="s">
        <v>41</v>
      </c>
      <c r="Z31" s="9" t="s">
        <v>41</v>
      </c>
      <c r="AA31" s="9" t="s">
        <v>41</v>
      </c>
      <c r="AB31" s="9" t="s">
        <v>41</v>
      </c>
      <c r="AC31" s="9" t="s">
        <v>41</v>
      </c>
      <c r="AD31" s="9" t="s">
        <v>37</v>
      </c>
      <c r="AE31" s="9" t="s">
        <v>37</v>
      </c>
      <c r="AF31" s="9" t="s">
        <v>37</v>
      </c>
      <c r="AG31" s="9" t="s">
        <v>37</v>
      </c>
      <c r="AH31" s="9" t="s">
        <v>37</v>
      </c>
      <c r="AI31" s="9" t="s">
        <v>37</v>
      </c>
      <c r="AJ31" s="9" t="s">
        <v>37</v>
      </c>
      <c r="AK31" s="9" t="s">
        <v>37</v>
      </c>
      <c r="AL31" s="9" t="s">
        <v>37</v>
      </c>
      <c r="AM31" s="9" t="s">
        <v>37</v>
      </c>
      <c r="AN31" s="9" t="s">
        <v>37</v>
      </c>
      <c r="AO31" s="6">
        <f t="shared" si="0"/>
        <v>1023000</v>
      </c>
      <c r="AP31" s="6">
        <f t="shared" si="1"/>
        <v>0</v>
      </c>
      <c r="AQ31" s="6"/>
    </row>
    <row r="32" spans="1:43" x14ac:dyDescent="0.25">
      <c r="A32" s="9">
        <f>_xlfn.XLOOKUP(B32,[1]DS!$B$2:$B$40,[1]DS!$A$2:$A$40)</f>
        <v>29</v>
      </c>
      <c r="B32" s="16" t="s">
        <v>73</v>
      </c>
      <c r="C32" s="14" t="s">
        <v>74</v>
      </c>
      <c r="D32" s="14" t="s">
        <v>75</v>
      </c>
      <c r="E32" s="9" t="str">
        <f>_xlfn.XLOOKUP(B32,[1]DS!$B$2:$B$40,[1]DS!$F$2:$F$40)</f>
        <v>Lãnh đạo</v>
      </c>
      <c r="F32" s="9" t="str">
        <f>_xlfn.XLOOKUP(B32,[1]DS!$B$2:$B$40,[1]DS!$G$2:$G$40)</f>
        <v>Phó giám đốc</v>
      </c>
      <c r="G32" s="9" t="s">
        <v>41</v>
      </c>
      <c r="H32" s="9" t="s">
        <v>41</v>
      </c>
      <c r="I32" s="9" t="s">
        <v>41</v>
      </c>
      <c r="J32" s="9" t="s">
        <v>41</v>
      </c>
      <c r="K32" s="9" t="s">
        <v>41</v>
      </c>
      <c r="L32" s="9" t="s">
        <v>41</v>
      </c>
      <c r="M32" s="9" t="s">
        <v>41</v>
      </c>
      <c r="N32" s="9" t="s">
        <v>41</v>
      </c>
      <c r="O32" s="9" t="s">
        <v>41</v>
      </c>
      <c r="P32" s="9" t="s">
        <v>41</v>
      </c>
      <c r="Q32" s="9" t="s">
        <v>41</v>
      </c>
      <c r="R32" s="9" t="s">
        <v>41</v>
      </c>
      <c r="S32" s="9" t="s">
        <v>41</v>
      </c>
      <c r="T32" s="9" t="s">
        <v>41</v>
      </c>
      <c r="U32" s="9" t="s">
        <v>41</v>
      </c>
      <c r="V32" s="9" t="s">
        <v>41</v>
      </c>
      <c r="W32" s="9" t="s">
        <v>37</v>
      </c>
      <c r="X32" s="9" t="s">
        <v>41</v>
      </c>
      <c r="Y32" s="9" t="s">
        <v>41</v>
      </c>
      <c r="Z32" s="9" t="s">
        <v>41</v>
      </c>
      <c r="AA32" s="9" t="s">
        <v>41</v>
      </c>
      <c r="AB32" s="9" t="s">
        <v>41</v>
      </c>
      <c r="AC32" s="9" t="s">
        <v>41</v>
      </c>
      <c r="AD32" s="9" t="s">
        <v>37</v>
      </c>
      <c r="AE32" s="9" t="s">
        <v>37</v>
      </c>
      <c r="AF32" s="9" t="s">
        <v>37</v>
      </c>
      <c r="AG32" s="9" t="s">
        <v>37</v>
      </c>
      <c r="AH32" s="9" t="s">
        <v>41</v>
      </c>
      <c r="AI32" s="9" t="s">
        <v>41</v>
      </c>
      <c r="AJ32" s="9" t="s">
        <v>37</v>
      </c>
      <c r="AK32" s="9" t="s">
        <v>37</v>
      </c>
      <c r="AL32" s="9" t="s">
        <v>37</v>
      </c>
      <c r="AM32" s="9" t="s">
        <v>37</v>
      </c>
      <c r="AN32" s="9" t="s">
        <v>37</v>
      </c>
      <c r="AO32" s="6">
        <f t="shared" si="0"/>
        <v>1023000</v>
      </c>
      <c r="AP32" s="6">
        <f t="shared" si="1"/>
        <v>45000</v>
      </c>
      <c r="AQ32" s="6"/>
    </row>
    <row r="33" spans="1:43" ht="30" x14ac:dyDescent="0.25">
      <c r="A33" s="9">
        <f>_xlfn.XLOOKUP(B33,[1]DS!$B$2:$B$40,[1]DS!$A$2:$A$40)</f>
        <v>30</v>
      </c>
      <c r="B33" s="16" t="s">
        <v>76</v>
      </c>
      <c r="C33" s="14" t="s">
        <v>77</v>
      </c>
      <c r="D33" s="14" t="s">
        <v>75</v>
      </c>
      <c r="E33" s="9" t="str">
        <f>_xlfn.XLOOKUP(B33,[1]DS!$B$2:$B$40,[1]DS!$F$2:$F$40)</f>
        <v>Phòng Hành chính-Tổng hợp</v>
      </c>
      <c r="F33" s="9" t="str">
        <f>_xlfn.XLOOKUP(B33,[1]DS!$B$2:$B$40,[1]DS!$G$2:$G$40)</f>
        <v>Phó trưởng phòng</v>
      </c>
      <c r="G33" s="9" t="s">
        <v>41</v>
      </c>
      <c r="H33" s="9" t="s">
        <v>41</v>
      </c>
      <c r="I33" s="9" t="s">
        <v>41</v>
      </c>
      <c r="J33" s="9" t="s">
        <v>41</v>
      </c>
      <c r="K33" s="9" t="s">
        <v>41</v>
      </c>
      <c r="L33" s="9" t="s">
        <v>41</v>
      </c>
      <c r="M33" s="9" t="s">
        <v>41</v>
      </c>
      <c r="N33" s="9" t="s">
        <v>41</v>
      </c>
      <c r="O33" s="9" t="s">
        <v>41</v>
      </c>
      <c r="P33" s="9" t="s">
        <v>41</v>
      </c>
      <c r="Q33" s="9" t="s">
        <v>41</v>
      </c>
      <c r="R33" s="9" t="s">
        <v>41</v>
      </c>
      <c r="S33" s="9" t="s">
        <v>41</v>
      </c>
      <c r="T33" s="9" t="s">
        <v>41</v>
      </c>
      <c r="U33" s="9" t="s">
        <v>41</v>
      </c>
      <c r="V33" s="9" t="s">
        <v>41</v>
      </c>
      <c r="W33" s="9" t="s">
        <v>37</v>
      </c>
      <c r="X33" s="9" t="s">
        <v>41</v>
      </c>
      <c r="Y33" s="9" t="s">
        <v>41</v>
      </c>
      <c r="Z33" s="9" t="s">
        <v>41</v>
      </c>
      <c r="AA33" s="9" t="s">
        <v>41</v>
      </c>
      <c r="AB33" s="9" t="s">
        <v>41</v>
      </c>
      <c r="AC33" s="9" t="s">
        <v>41</v>
      </c>
      <c r="AD33" s="9" t="s">
        <v>37</v>
      </c>
      <c r="AE33" s="9" t="s">
        <v>37</v>
      </c>
      <c r="AF33" s="9" t="s">
        <v>37</v>
      </c>
      <c r="AG33" s="9" t="s">
        <v>37</v>
      </c>
      <c r="AH33" s="9" t="s">
        <v>37</v>
      </c>
      <c r="AI33" s="9" t="s">
        <v>37</v>
      </c>
      <c r="AJ33" s="9" t="s">
        <v>37</v>
      </c>
      <c r="AK33" s="9" t="s">
        <v>37</v>
      </c>
      <c r="AL33" s="9" t="s">
        <v>37</v>
      </c>
      <c r="AM33" s="9" t="s">
        <v>37</v>
      </c>
      <c r="AN33" s="9" t="s">
        <v>37</v>
      </c>
      <c r="AO33" s="6">
        <f t="shared" si="0"/>
        <v>1023000</v>
      </c>
      <c r="AP33" s="6">
        <f t="shared" si="1"/>
        <v>0</v>
      </c>
      <c r="AQ33" s="6"/>
    </row>
    <row r="34" spans="1:43" x14ac:dyDescent="0.25">
      <c r="A34" s="9">
        <f>_xlfn.XLOOKUP(B34,[1]DS!$B$2:$B$40,[1]DS!$A$2:$A$40)</f>
        <v>31</v>
      </c>
      <c r="B34" s="16" t="s">
        <v>78</v>
      </c>
      <c r="C34" s="14" t="s">
        <v>79</v>
      </c>
      <c r="D34" s="14" t="s">
        <v>75</v>
      </c>
      <c r="E34" s="9" t="str">
        <f>_xlfn.XLOOKUP(B34,[1]DS!$B$2:$B$40,[1]DS!$F$2:$F$40)</f>
        <v>Phòng Hành chính-Tổng hợp</v>
      </c>
      <c r="F34" s="9" t="str">
        <f>_xlfn.XLOOKUP(B34,[1]DS!$B$2:$B$40,[1]DS!$G$2:$G$40)</f>
        <v>Văn thư viên</v>
      </c>
      <c r="G34" s="9" t="s">
        <v>41</v>
      </c>
      <c r="H34" s="9" t="s">
        <v>41</v>
      </c>
      <c r="I34" s="9" t="s">
        <v>41</v>
      </c>
      <c r="J34" s="9" t="s">
        <v>41</v>
      </c>
      <c r="K34" s="9" t="s">
        <v>41</v>
      </c>
      <c r="L34" s="9" t="s">
        <v>41</v>
      </c>
      <c r="M34" s="9" t="s">
        <v>41</v>
      </c>
      <c r="N34" s="9" t="s">
        <v>41</v>
      </c>
      <c r="O34" s="9" t="s">
        <v>41</v>
      </c>
      <c r="P34" s="9" t="s">
        <v>41</v>
      </c>
      <c r="Q34" s="9" t="s">
        <v>41</v>
      </c>
      <c r="R34" s="9" t="s">
        <v>41</v>
      </c>
      <c r="S34" s="9" t="s">
        <v>41</v>
      </c>
      <c r="T34" s="9" t="s">
        <v>41</v>
      </c>
      <c r="U34" s="9" t="s">
        <v>41</v>
      </c>
      <c r="V34" s="9" t="s">
        <v>41</v>
      </c>
      <c r="W34" s="9" t="s">
        <v>37</v>
      </c>
      <c r="X34" s="9" t="s">
        <v>41</v>
      </c>
      <c r="Y34" s="9" t="s">
        <v>41</v>
      </c>
      <c r="Z34" s="9" t="s">
        <v>41</v>
      </c>
      <c r="AA34" s="9" t="s">
        <v>41</v>
      </c>
      <c r="AB34" s="9" t="s">
        <v>41</v>
      </c>
      <c r="AC34" s="9" t="s">
        <v>41</v>
      </c>
      <c r="AD34" s="9" t="s">
        <v>37</v>
      </c>
      <c r="AE34" s="9" t="s">
        <v>37</v>
      </c>
      <c r="AF34" s="9" t="s">
        <v>37</v>
      </c>
      <c r="AG34" s="9" t="s">
        <v>37</v>
      </c>
      <c r="AH34" s="9" t="s">
        <v>37</v>
      </c>
      <c r="AI34" s="9" t="s">
        <v>37</v>
      </c>
      <c r="AJ34" s="9" t="s">
        <v>37</v>
      </c>
      <c r="AK34" s="9" t="s">
        <v>37</v>
      </c>
      <c r="AL34" s="9" t="s">
        <v>37</v>
      </c>
      <c r="AM34" s="9" t="s">
        <v>37</v>
      </c>
      <c r="AN34" s="9" t="s">
        <v>37</v>
      </c>
      <c r="AO34" s="6">
        <f t="shared" si="0"/>
        <v>1023000</v>
      </c>
      <c r="AP34" s="6">
        <f t="shared" si="1"/>
        <v>0</v>
      </c>
      <c r="AQ34" s="6"/>
    </row>
    <row r="35" spans="1:43" x14ac:dyDescent="0.25">
      <c r="A35" s="9">
        <f>_xlfn.XLOOKUP(B35,[1]DS!$B$2:$B$40,[1]DS!$A$2:$A$40)</f>
        <v>32</v>
      </c>
      <c r="B35" s="16" t="s">
        <v>80</v>
      </c>
      <c r="C35" s="14" t="s">
        <v>81</v>
      </c>
      <c r="D35" s="14" t="s">
        <v>75</v>
      </c>
      <c r="E35" s="9" t="str">
        <f>_xlfn.XLOOKUP(B35,[1]DS!$B$2:$B$40,[1]DS!$F$2:$F$40)</f>
        <v>Phòng Kế hoạch</v>
      </c>
      <c r="F35" s="9" t="str">
        <f>_xlfn.XLOOKUP(B35,[1]DS!$B$2:$B$40,[1]DS!$G$2:$G$40)</f>
        <v>Chuyên viên</v>
      </c>
      <c r="G35" s="9" t="s">
        <v>41</v>
      </c>
      <c r="H35" s="9" t="s">
        <v>41</v>
      </c>
      <c r="I35" s="9" t="s">
        <v>41</v>
      </c>
      <c r="J35" s="9" t="s">
        <v>41</v>
      </c>
      <c r="K35" s="9" t="s">
        <v>41</v>
      </c>
      <c r="L35" s="9" t="s">
        <v>41</v>
      </c>
      <c r="M35" s="9" t="s">
        <v>41</v>
      </c>
      <c r="N35" s="9" t="s">
        <v>41</v>
      </c>
      <c r="O35" s="9" t="s">
        <v>41</v>
      </c>
      <c r="P35" s="9" t="s">
        <v>41</v>
      </c>
      <c r="Q35" s="9" t="s">
        <v>41</v>
      </c>
      <c r="R35" s="9" t="s">
        <v>41</v>
      </c>
      <c r="S35" s="9" t="s">
        <v>41</v>
      </c>
      <c r="T35" s="9" t="s">
        <v>41</v>
      </c>
      <c r="U35" s="9" t="s">
        <v>41</v>
      </c>
      <c r="V35" s="9" t="s">
        <v>41</v>
      </c>
      <c r="W35" s="9" t="s">
        <v>37</v>
      </c>
      <c r="X35" s="9" t="s">
        <v>41</v>
      </c>
      <c r="Y35" s="9" t="s">
        <v>41</v>
      </c>
      <c r="Z35" s="9" t="s">
        <v>41</v>
      </c>
      <c r="AA35" s="9" t="s">
        <v>41</v>
      </c>
      <c r="AB35" s="9" t="s">
        <v>41</v>
      </c>
      <c r="AC35" s="9" t="s">
        <v>41</v>
      </c>
      <c r="AD35" s="9" t="s">
        <v>37</v>
      </c>
      <c r="AE35" s="9" t="s">
        <v>37</v>
      </c>
      <c r="AF35" s="9" t="s">
        <v>37</v>
      </c>
      <c r="AG35" s="9" t="s">
        <v>37</v>
      </c>
      <c r="AH35" s="9" t="s">
        <v>37</v>
      </c>
      <c r="AI35" s="9" t="s">
        <v>37</v>
      </c>
      <c r="AJ35" s="9" t="s">
        <v>37</v>
      </c>
      <c r="AK35" s="9" t="s">
        <v>37</v>
      </c>
      <c r="AL35" s="9" t="s">
        <v>37</v>
      </c>
      <c r="AM35" s="9" t="s">
        <v>37</v>
      </c>
      <c r="AN35" s="9" t="s">
        <v>37</v>
      </c>
      <c r="AO35" s="6">
        <f t="shared" si="0"/>
        <v>1023000</v>
      </c>
      <c r="AP35" s="6">
        <f t="shared" si="1"/>
        <v>0</v>
      </c>
      <c r="AQ35" s="6"/>
    </row>
    <row r="36" spans="1:43" x14ac:dyDescent="0.25">
      <c r="A36" s="9">
        <f>_xlfn.XLOOKUP(B36,[1]DS!$B$2:$B$40,[1]DS!$A$2:$A$40)</f>
        <v>33</v>
      </c>
      <c r="B36" s="16" t="s">
        <v>82</v>
      </c>
      <c r="C36" s="14" t="s">
        <v>83</v>
      </c>
      <c r="D36" s="14" t="s">
        <v>75</v>
      </c>
      <c r="E36" s="9" t="str">
        <f>_xlfn.XLOOKUP(B36,[1]DS!$B$2:$B$40,[1]DS!$F$2:$F$40)</f>
        <v>Phòng Kế toán - Tài vụ</v>
      </c>
      <c r="F36" s="9" t="str">
        <f>_xlfn.XLOOKUP(B36,[1]DS!$B$2:$B$40,[1]DS!$G$2:$G$40)</f>
        <v>Trưởng phòng</v>
      </c>
      <c r="G36" s="9" t="s">
        <v>41</v>
      </c>
      <c r="H36" s="9" t="s">
        <v>41</v>
      </c>
      <c r="I36" s="9" t="s">
        <v>41</v>
      </c>
      <c r="J36" s="9" t="s">
        <v>41</v>
      </c>
      <c r="K36" s="9" t="s">
        <v>41</v>
      </c>
      <c r="L36" s="9" t="s">
        <v>41</v>
      </c>
      <c r="M36" s="9" t="s">
        <v>41</v>
      </c>
      <c r="N36" s="9" t="s">
        <v>41</v>
      </c>
      <c r="O36" s="9" t="s">
        <v>41</v>
      </c>
      <c r="P36" s="9" t="s">
        <v>41</v>
      </c>
      <c r="Q36" s="9" t="s">
        <v>41</v>
      </c>
      <c r="R36" s="9" t="s">
        <v>41</v>
      </c>
      <c r="S36" s="9" t="s">
        <v>41</v>
      </c>
      <c r="T36" s="9" t="s">
        <v>41</v>
      </c>
      <c r="U36" s="9" t="s">
        <v>41</v>
      </c>
      <c r="V36" s="9" t="s">
        <v>41</v>
      </c>
      <c r="W36" s="9" t="s">
        <v>37</v>
      </c>
      <c r="X36" s="9" t="s">
        <v>41</v>
      </c>
      <c r="Y36" s="9" t="s">
        <v>41</v>
      </c>
      <c r="Z36" s="9" t="s">
        <v>41</v>
      </c>
      <c r="AA36" s="9" t="s">
        <v>41</v>
      </c>
      <c r="AB36" s="9" t="s">
        <v>41</v>
      </c>
      <c r="AC36" s="9" t="s">
        <v>41</v>
      </c>
      <c r="AD36" s="9" t="s">
        <v>37</v>
      </c>
      <c r="AE36" s="9" t="s">
        <v>37</v>
      </c>
      <c r="AF36" s="9" t="s">
        <v>37</v>
      </c>
      <c r="AG36" s="9" t="s">
        <v>37</v>
      </c>
      <c r="AH36" s="9" t="s">
        <v>37</v>
      </c>
      <c r="AI36" s="9" t="s">
        <v>37</v>
      </c>
      <c r="AJ36" s="9" t="s">
        <v>37</v>
      </c>
      <c r="AK36" s="9" t="s">
        <v>37</v>
      </c>
      <c r="AL36" s="9" t="s">
        <v>37</v>
      </c>
      <c r="AM36" s="9" t="s">
        <v>41</v>
      </c>
      <c r="AN36" s="9" t="s">
        <v>37</v>
      </c>
      <c r="AO36" s="6">
        <f t="shared" si="0"/>
        <v>1023000</v>
      </c>
      <c r="AP36" s="6">
        <f t="shared" si="1"/>
        <v>64800</v>
      </c>
      <c r="AQ36" s="6"/>
    </row>
    <row r="37" spans="1:43" x14ac:dyDescent="0.25">
      <c r="A37" s="9">
        <f>_xlfn.XLOOKUP(B37,[1]DS!$B$2:$B$40,[1]DS!$A$2:$A$40)</f>
        <v>34</v>
      </c>
      <c r="B37" s="16" t="s">
        <v>84</v>
      </c>
      <c r="C37" s="14" t="s">
        <v>68</v>
      </c>
      <c r="D37" s="14" t="s">
        <v>75</v>
      </c>
      <c r="E37" s="9" t="str">
        <f>_xlfn.XLOOKUP(B37,[1]DS!$B$2:$B$40,[1]DS!$F$2:$F$40)</f>
        <v>Phòng Kế toán - Tài vụ</v>
      </c>
      <c r="F37" s="9" t="str">
        <f>_xlfn.XLOOKUP(B37,[1]DS!$B$2:$B$40,[1]DS!$G$2:$G$40)</f>
        <v>Phó trưởng phòng</v>
      </c>
      <c r="G37" s="9" t="s">
        <v>41</v>
      </c>
      <c r="H37" s="9" t="s">
        <v>41</v>
      </c>
      <c r="I37" s="9" t="s">
        <v>41</v>
      </c>
      <c r="J37" s="9" t="s">
        <v>41</v>
      </c>
      <c r="K37" s="9" t="s">
        <v>41</v>
      </c>
      <c r="L37" s="9" t="s">
        <v>41</v>
      </c>
      <c r="M37" s="9" t="s">
        <v>41</v>
      </c>
      <c r="N37" s="9" t="s">
        <v>41</v>
      </c>
      <c r="O37" s="9" t="s">
        <v>41</v>
      </c>
      <c r="P37" s="9" t="s">
        <v>41</v>
      </c>
      <c r="Q37" s="9" t="s">
        <v>41</v>
      </c>
      <c r="R37" s="9" t="s">
        <v>41</v>
      </c>
      <c r="S37" s="9" t="s">
        <v>41</v>
      </c>
      <c r="T37" s="9" t="s">
        <v>41</v>
      </c>
      <c r="U37" s="9" t="s">
        <v>41</v>
      </c>
      <c r="V37" s="9" t="s">
        <v>41</v>
      </c>
      <c r="W37" s="9" t="s">
        <v>37</v>
      </c>
      <c r="X37" s="9" t="s">
        <v>41</v>
      </c>
      <c r="Y37" s="9" t="s">
        <v>41</v>
      </c>
      <c r="Z37" s="9" t="s">
        <v>41</v>
      </c>
      <c r="AA37" s="9" t="s">
        <v>41</v>
      </c>
      <c r="AB37" s="9" t="s">
        <v>41</v>
      </c>
      <c r="AC37" s="9" t="s">
        <v>41</v>
      </c>
      <c r="AD37" s="9" t="s">
        <v>37</v>
      </c>
      <c r="AE37" s="9" t="s">
        <v>37</v>
      </c>
      <c r="AF37" s="9" t="s">
        <v>37</v>
      </c>
      <c r="AG37" s="9" t="s">
        <v>37</v>
      </c>
      <c r="AH37" s="9" t="s">
        <v>37</v>
      </c>
      <c r="AI37" s="9" t="s">
        <v>37</v>
      </c>
      <c r="AJ37" s="9" t="s">
        <v>37</v>
      </c>
      <c r="AK37" s="9" t="s">
        <v>37</v>
      </c>
      <c r="AL37" s="9" t="s">
        <v>37</v>
      </c>
      <c r="AM37" s="9" t="s">
        <v>37</v>
      </c>
      <c r="AN37" s="9" t="s">
        <v>37</v>
      </c>
      <c r="AO37" s="6">
        <f t="shared" si="0"/>
        <v>1023000</v>
      </c>
      <c r="AP37" s="6">
        <f t="shared" si="1"/>
        <v>0</v>
      </c>
      <c r="AQ37" s="6"/>
    </row>
    <row r="38" spans="1:43" x14ac:dyDescent="0.25">
      <c r="A38" s="9">
        <f>_xlfn.XLOOKUP(B38,[1]DS!$B$2:$B$40,[1]DS!$A$2:$A$40)</f>
        <v>35</v>
      </c>
      <c r="B38" s="16" t="s">
        <v>85</v>
      </c>
      <c r="C38" s="14" t="s">
        <v>81</v>
      </c>
      <c r="D38" s="14" t="s">
        <v>75</v>
      </c>
      <c r="E38" s="9" t="str">
        <f>_xlfn.XLOOKUP(B38,[1]DS!$B$2:$B$40,[1]DS!$F$2:$F$40)</f>
        <v>Phòng Kế toán - Tài vụ</v>
      </c>
      <c r="F38" s="9" t="str">
        <f>_xlfn.XLOOKUP(B38,[1]DS!$B$2:$B$40,[1]DS!$G$2:$G$40)</f>
        <v>Chuyên viên</v>
      </c>
      <c r="G38" s="9" t="s">
        <v>41</v>
      </c>
      <c r="H38" s="9" t="s">
        <v>41</v>
      </c>
      <c r="I38" s="9" t="s">
        <v>41</v>
      </c>
      <c r="J38" s="9" t="s">
        <v>41</v>
      </c>
      <c r="K38" s="9" t="s">
        <v>41</v>
      </c>
      <c r="L38" s="9" t="s">
        <v>41</v>
      </c>
      <c r="M38" s="9" t="s">
        <v>41</v>
      </c>
      <c r="N38" s="9" t="s">
        <v>41</v>
      </c>
      <c r="O38" s="9" t="s">
        <v>41</v>
      </c>
      <c r="P38" s="9" t="s">
        <v>41</v>
      </c>
      <c r="Q38" s="9" t="s">
        <v>41</v>
      </c>
      <c r="R38" s="9" t="s">
        <v>41</v>
      </c>
      <c r="S38" s="9" t="s">
        <v>41</v>
      </c>
      <c r="T38" s="9" t="s">
        <v>41</v>
      </c>
      <c r="U38" s="9" t="s">
        <v>41</v>
      </c>
      <c r="V38" s="9" t="s">
        <v>41</v>
      </c>
      <c r="W38" s="9" t="s">
        <v>37</v>
      </c>
      <c r="X38" s="9" t="s">
        <v>41</v>
      </c>
      <c r="Y38" s="9" t="s">
        <v>41</v>
      </c>
      <c r="Z38" s="9" t="s">
        <v>41</v>
      </c>
      <c r="AA38" s="9" t="s">
        <v>41</v>
      </c>
      <c r="AB38" s="9" t="s">
        <v>41</v>
      </c>
      <c r="AC38" s="9" t="s">
        <v>41</v>
      </c>
      <c r="AD38" s="9" t="s">
        <v>37</v>
      </c>
      <c r="AE38" s="9" t="s">
        <v>37</v>
      </c>
      <c r="AF38" s="9" t="s">
        <v>37</v>
      </c>
      <c r="AG38" s="9" t="s">
        <v>37</v>
      </c>
      <c r="AH38" s="9" t="s">
        <v>37</v>
      </c>
      <c r="AI38" s="9" t="s">
        <v>37</v>
      </c>
      <c r="AJ38" s="9" t="s">
        <v>37</v>
      </c>
      <c r="AK38" s="9" t="s">
        <v>37</v>
      </c>
      <c r="AL38" s="9" t="s">
        <v>37</v>
      </c>
      <c r="AM38" s="9" t="s">
        <v>37</v>
      </c>
      <c r="AN38" s="9" t="s">
        <v>37</v>
      </c>
      <c r="AO38" s="6">
        <f t="shared" si="0"/>
        <v>1023000</v>
      </c>
      <c r="AP38" s="6">
        <f t="shared" si="1"/>
        <v>0</v>
      </c>
      <c r="AQ38" s="6"/>
    </row>
    <row r="39" spans="1:43" ht="30" x14ac:dyDescent="0.25">
      <c r="A39" s="9">
        <f>_xlfn.XLOOKUP(B39,[1]DS!$B$2:$B$40,[1]DS!$A$2:$A$40)</f>
        <v>36</v>
      </c>
      <c r="B39" s="16" t="s">
        <v>86</v>
      </c>
      <c r="C39" s="14" t="s">
        <v>87</v>
      </c>
      <c r="D39" s="14" t="s">
        <v>75</v>
      </c>
      <c r="E39" s="9" t="str">
        <f>_xlfn.XLOOKUP(B39,[1]DS!$B$2:$B$40,[1]DS!$F$2:$F$40)</f>
        <v>Phòng Kế toán - Tài vụ</v>
      </c>
      <c r="F39" s="9" t="str">
        <f>_xlfn.XLOOKUP(B39,[1]DS!$B$2:$B$40,[1]DS!$G$2:$G$40)</f>
        <v>Chuyên viên</v>
      </c>
      <c r="G39" s="9" t="s">
        <v>41</v>
      </c>
      <c r="H39" s="9" t="s">
        <v>41</v>
      </c>
      <c r="I39" s="9" t="s">
        <v>41</v>
      </c>
      <c r="J39" s="9" t="s">
        <v>41</v>
      </c>
      <c r="K39" s="9" t="s">
        <v>41</v>
      </c>
      <c r="L39" s="9" t="s">
        <v>41</v>
      </c>
      <c r="M39" s="9" t="s">
        <v>41</v>
      </c>
      <c r="N39" s="9" t="s">
        <v>41</v>
      </c>
      <c r="O39" s="9" t="s">
        <v>41</v>
      </c>
      <c r="P39" s="9" t="s">
        <v>41</v>
      </c>
      <c r="Q39" s="9" t="s">
        <v>41</v>
      </c>
      <c r="R39" s="9" t="s">
        <v>41</v>
      </c>
      <c r="S39" s="9" t="s">
        <v>41</v>
      </c>
      <c r="T39" s="9" t="s">
        <v>41</v>
      </c>
      <c r="U39" s="9" t="s">
        <v>41</v>
      </c>
      <c r="V39" s="9" t="s">
        <v>41</v>
      </c>
      <c r="W39" s="9" t="s">
        <v>37</v>
      </c>
      <c r="X39" s="9" t="s">
        <v>41</v>
      </c>
      <c r="Y39" s="9" t="s">
        <v>41</v>
      </c>
      <c r="Z39" s="9" t="s">
        <v>41</v>
      </c>
      <c r="AA39" s="9" t="s">
        <v>41</v>
      </c>
      <c r="AB39" s="9" t="s">
        <v>41</v>
      </c>
      <c r="AC39" s="9" t="s">
        <v>41</v>
      </c>
      <c r="AD39" s="9" t="s">
        <v>37</v>
      </c>
      <c r="AE39" s="9" t="s">
        <v>37</v>
      </c>
      <c r="AF39" s="9" t="s">
        <v>37</v>
      </c>
      <c r="AG39" s="9" t="s">
        <v>37</v>
      </c>
      <c r="AH39" s="9" t="s">
        <v>37</v>
      </c>
      <c r="AI39" s="9" t="s">
        <v>37</v>
      </c>
      <c r="AJ39" s="9" t="s">
        <v>41</v>
      </c>
      <c r="AK39" s="9" t="s">
        <v>41</v>
      </c>
      <c r="AL39" s="9" t="s">
        <v>41</v>
      </c>
      <c r="AM39" s="9" t="s">
        <v>37</v>
      </c>
      <c r="AN39" s="9" t="s">
        <v>37</v>
      </c>
      <c r="AO39" s="6">
        <f t="shared" si="0"/>
        <v>1023000</v>
      </c>
      <c r="AP39" s="6">
        <f t="shared" si="1"/>
        <v>422100</v>
      </c>
      <c r="AQ39" s="6"/>
    </row>
    <row r="40" spans="1:43" x14ac:dyDescent="0.25">
      <c r="A40" s="9">
        <f>_xlfn.XLOOKUP(B40,[1]DS!$B$2:$B$40,[1]DS!$A$2:$A$40)</f>
        <v>37</v>
      </c>
      <c r="B40" s="16" t="s">
        <v>88</v>
      </c>
      <c r="C40" s="14" t="s">
        <v>89</v>
      </c>
      <c r="D40" s="14" t="s">
        <v>75</v>
      </c>
      <c r="E40" s="9" t="str">
        <f>_xlfn.XLOOKUP(B40,[1]DS!$B$2:$B$40,[1]DS!$F$2:$F$40)</f>
        <v>Phòng Kế hoạch</v>
      </c>
      <c r="F40" s="9" t="str">
        <f>_xlfn.XLOOKUP(B40,[1]DS!$B$2:$B$40,[1]DS!$G$2:$G$40)</f>
        <v>Phó phòng</v>
      </c>
      <c r="G40" s="9" t="s">
        <v>41</v>
      </c>
      <c r="H40" s="9" t="s">
        <v>41</v>
      </c>
      <c r="I40" s="9" t="s">
        <v>41</v>
      </c>
      <c r="J40" s="9" t="s">
        <v>41</v>
      </c>
      <c r="K40" s="9" t="s">
        <v>41</v>
      </c>
      <c r="L40" s="9" t="s">
        <v>41</v>
      </c>
      <c r="M40" s="9" t="s">
        <v>41</v>
      </c>
      <c r="N40" s="9" t="s">
        <v>41</v>
      </c>
      <c r="O40" s="9" t="s">
        <v>41</v>
      </c>
      <c r="P40" s="9" t="s">
        <v>41</v>
      </c>
      <c r="Q40" s="9" t="s">
        <v>37</v>
      </c>
      <c r="R40" s="9" t="s">
        <v>41</v>
      </c>
      <c r="S40" s="9" t="s">
        <v>41</v>
      </c>
      <c r="T40" s="9" t="s">
        <v>41</v>
      </c>
      <c r="U40" s="9" t="s">
        <v>41</v>
      </c>
      <c r="V40" s="9" t="s">
        <v>41</v>
      </c>
      <c r="W40" s="9" t="s">
        <v>37</v>
      </c>
      <c r="X40" s="9" t="s">
        <v>41</v>
      </c>
      <c r="Y40" s="9" t="s">
        <v>41</v>
      </c>
      <c r="Z40" s="9" t="s">
        <v>41</v>
      </c>
      <c r="AA40" s="9" t="s">
        <v>41</v>
      </c>
      <c r="AB40" s="9" t="s">
        <v>41</v>
      </c>
      <c r="AC40" s="9" t="s">
        <v>41</v>
      </c>
      <c r="AD40" s="9" t="s">
        <v>37</v>
      </c>
      <c r="AE40" s="9" t="s">
        <v>37</v>
      </c>
      <c r="AF40" s="9" t="s">
        <v>37</v>
      </c>
      <c r="AG40" s="9" t="s">
        <v>37</v>
      </c>
      <c r="AH40" s="9" t="s">
        <v>37</v>
      </c>
      <c r="AI40" s="9" t="s">
        <v>37</v>
      </c>
      <c r="AJ40" s="9" t="s">
        <v>37</v>
      </c>
      <c r="AK40" s="9" t="s">
        <v>37</v>
      </c>
      <c r="AL40" s="9" t="s">
        <v>37</v>
      </c>
      <c r="AM40" s="9" t="s">
        <v>37</v>
      </c>
      <c r="AN40" s="9" t="s">
        <v>37</v>
      </c>
      <c r="AO40" s="6">
        <f t="shared" si="0"/>
        <v>921000</v>
      </c>
      <c r="AP40" s="6">
        <f t="shared" si="1"/>
        <v>0</v>
      </c>
      <c r="AQ40" s="6" t="s">
        <v>115</v>
      </c>
    </row>
    <row r="41" spans="1:43" ht="30" x14ac:dyDescent="0.25">
      <c r="A41" s="9">
        <f>_xlfn.XLOOKUP(B41,[1]DS!$B$2:$B$40,[1]DS!$A$2:$A$40)</f>
        <v>38</v>
      </c>
      <c r="B41" s="16" t="s">
        <v>90</v>
      </c>
      <c r="C41" s="14" t="s">
        <v>91</v>
      </c>
      <c r="D41" s="14" t="s">
        <v>75</v>
      </c>
      <c r="E41" s="9" t="str">
        <f>_xlfn.XLOOKUP(B41,[1]DS!$B$2:$B$40,[1]DS!$F$2:$F$40)</f>
        <v>Phòng QL KCN DVTS Đà Nẵng</v>
      </c>
      <c r="F41" s="9" t="str">
        <f>_xlfn.XLOOKUP(B41,[1]DS!$B$2:$B$40,[1]DS!$G$2:$G$40)</f>
        <v>Chuyên viên</v>
      </c>
      <c r="G41" s="9" t="s">
        <v>41</v>
      </c>
      <c r="H41" s="9" t="s">
        <v>41</v>
      </c>
      <c r="I41" s="9" t="s">
        <v>41</v>
      </c>
      <c r="J41" s="9" t="s">
        <v>41</v>
      </c>
      <c r="K41" s="9" t="s">
        <v>41</v>
      </c>
      <c r="L41" s="9" t="s">
        <v>41</v>
      </c>
      <c r="M41" s="9" t="s">
        <v>41</v>
      </c>
      <c r="N41" s="9" t="s">
        <v>41</v>
      </c>
      <c r="O41" s="9" t="s">
        <v>41</v>
      </c>
      <c r="P41" s="9" t="s">
        <v>41</v>
      </c>
      <c r="Q41" s="9" t="s">
        <v>41</v>
      </c>
      <c r="R41" s="9" t="s">
        <v>41</v>
      </c>
      <c r="S41" s="9" t="s">
        <v>41</v>
      </c>
      <c r="T41" s="9" t="s">
        <v>41</v>
      </c>
      <c r="U41" s="9" t="s">
        <v>41</v>
      </c>
      <c r="V41" s="9" t="s">
        <v>41</v>
      </c>
      <c r="W41" s="9" t="s">
        <v>37</v>
      </c>
      <c r="X41" s="9" t="s">
        <v>41</v>
      </c>
      <c r="Y41" s="9" t="s">
        <v>41</v>
      </c>
      <c r="Z41" s="9" t="s">
        <v>41</v>
      </c>
      <c r="AA41" s="9" t="s">
        <v>41</v>
      </c>
      <c r="AB41" s="9" t="s">
        <v>41</v>
      </c>
      <c r="AC41" s="9" t="s">
        <v>41</v>
      </c>
      <c r="AD41" s="9" t="s">
        <v>37</v>
      </c>
      <c r="AE41" s="9" t="s">
        <v>37</v>
      </c>
      <c r="AF41" s="9" t="s">
        <v>37</v>
      </c>
      <c r="AG41" s="9" t="s">
        <v>37</v>
      </c>
      <c r="AH41" s="9" t="s">
        <v>37</v>
      </c>
      <c r="AI41" s="9" t="s">
        <v>37</v>
      </c>
      <c r="AJ41" s="9" t="s">
        <v>37</v>
      </c>
      <c r="AK41" s="9" t="s">
        <v>37</v>
      </c>
      <c r="AL41" s="9" t="s">
        <v>37</v>
      </c>
      <c r="AM41" s="9" t="s">
        <v>37</v>
      </c>
      <c r="AN41" s="9" t="s">
        <v>37</v>
      </c>
      <c r="AO41" s="6">
        <f t="shared" si="0"/>
        <v>1023000</v>
      </c>
      <c r="AP41" s="6">
        <f t="shared" si="1"/>
        <v>0</v>
      </c>
      <c r="AQ41" s="6"/>
    </row>
    <row r="42" spans="1:43" x14ac:dyDescent="0.25">
      <c r="A42" s="9">
        <f>_xlfn.XLOOKUP(B42,[1]DS!$B$2:$B$40,[1]DS!$A$2:$A$40)</f>
        <v>39</v>
      </c>
      <c r="B42" s="16" t="s">
        <v>92</v>
      </c>
      <c r="C42" s="14" t="s">
        <v>74</v>
      </c>
      <c r="D42" s="14" t="s">
        <v>75</v>
      </c>
      <c r="E42" s="9" t="str">
        <f>_xlfn.XLOOKUP(B42,[1]DS!$B$2:$B$40,[1]DS!$F$2:$F$40)</f>
        <v>Xí nghiệp QL&amp;DV KCN Hòa Khánh</v>
      </c>
      <c r="F42" s="9" t="str">
        <f>_xlfn.XLOOKUP(B42,[1]DS!$B$2:$B$40,[1]DS!$G$2:$G$40)</f>
        <v>Phục vụ</v>
      </c>
      <c r="G42" s="9" t="s">
        <v>41</v>
      </c>
      <c r="H42" s="9" t="s">
        <v>41</v>
      </c>
      <c r="I42" s="9" t="s">
        <v>41</v>
      </c>
      <c r="J42" s="9" t="s">
        <v>41</v>
      </c>
      <c r="K42" s="9" t="s">
        <v>41</v>
      </c>
      <c r="L42" s="9" t="s">
        <v>41</v>
      </c>
      <c r="M42" s="9" t="s">
        <v>41</v>
      </c>
      <c r="N42" s="9" t="s">
        <v>41</v>
      </c>
      <c r="O42" s="9" t="s">
        <v>41</v>
      </c>
      <c r="P42" s="9" t="s">
        <v>41</v>
      </c>
      <c r="Q42" s="9" t="s">
        <v>41</v>
      </c>
      <c r="R42" s="9" t="s">
        <v>41</v>
      </c>
      <c r="S42" s="9" t="s">
        <v>41</v>
      </c>
      <c r="T42" s="9" t="s">
        <v>41</v>
      </c>
      <c r="U42" s="9" t="s">
        <v>41</v>
      </c>
      <c r="V42" s="9" t="s">
        <v>41</v>
      </c>
      <c r="W42" s="9" t="s">
        <v>37</v>
      </c>
      <c r="X42" s="9" t="s">
        <v>41</v>
      </c>
      <c r="Y42" s="9" t="s">
        <v>41</v>
      </c>
      <c r="Z42" s="9" t="s">
        <v>41</v>
      </c>
      <c r="AA42" s="9" t="s">
        <v>41</v>
      </c>
      <c r="AB42" s="9" t="s">
        <v>41</v>
      </c>
      <c r="AC42" s="9" t="s">
        <v>41</v>
      </c>
      <c r="AD42" s="9" t="s">
        <v>37</v>
      </c>
      <c r="AE42" s="9" t="s">
        <v>37</v>
      </c>
      <c r="AF42" s="9" t="s">
        <v>37</v>
      </c>
      <c r="AG42" s="9" t="s">
        <v>37</v>
      </c>
      <c r="AH42" s="9" t="s">
        <v>37</v>
      </c>
      <c r="AI42" s="9" t="s">
        <v>37</v>
      </c>
      <c r="AJ42" s="9" t="s">
        <v>37</v>
      </c>
      <c r="AK42" s="9" t="s">
        <v>37</v>
      </c>
      <c r="AL42" s="9" t="s">
        <v>37</v>
      </c>
      <c r="AM42" s="9" t="s">
        <v>37</v>
      </c>
      <c r="AN42" s="9" t="s">
        <v>37</v>
      </c>
      <c r="AO42" s="6">
        <f t="shared" si="0"/>
        <v>1023000</v>
      </c>
      <c r="AP42" s="6">
        <f t="shared" si="1"/>
        <v>0</v>
      </c>
      <c r="AQ42" s="6"/>
    </row>
    <row r="43" spans="1:43" ht="18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5">
        <f>SUM(AO4:AO42)</f>
        <v>40941000</v>
      </c>
      <c r="AP43" s="1"/>
      <c r="AQ43" s="1"/>
    </row>
  </sheetData>
  <autoFilter ref="A2:AQ43" xr:uid="{00000000-0001-0000-0000-000000000000}"/>
  <mergeCells count="3">
    <mergeCell ref="AJ3:AL3"/>
    <mergeCell ref="A3:F3"/>
    <mergeCell ref="G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65FB-08DD-4076-B2B6-2710788B7387}">
  <dimension ref="A1:I41"/>
  <sheetViews>
    <sheetView workbookViewId="0">
      <selection activeCell="L9" sqref="L9"/>
    </sheetView>
  </sheetViews>
  <sheetFormatPr defaultRowHeight="15" x14ac:dyDescent="0.25"/>
  <cols>
    <col min="1" max="1" width="5" bestFit="1" customWidth="1"/>
    <col min="2" max="2" width="20.42578125" bestFit="1" customWidth="1"/>
    <col min="3" max="3" width="10.140625" bestFit="1" customWidth="1"/>
    <col min="4" max="4" width="9" bestFit="1" customWidth="1"/>
    <col min="5" max="5" width="33.28515625" bestFit="1" customWidth="1"/>
    <col min="6" max="6" width="16.28515625" bestFit="1" customWidth="1"/>
    <col min="7" max="7" width="23.140625" bestFit="1" customWidth="1"/>
  </cols>
  <sheetData>
    <row r="1" spans="1:9" ht="15.75" x14ac:dyDescent="0.25">
      <c r="A1" s="19" t="s">
        <v>117</v>
      </c>
      <c r="B1" s="19" t="s">
        <v>0</v>
      </c>
      <c r="C1" s="19" t="s">
        <v>1</v>
      </c>
      <c r="D1" s="19" t="s">
        <v>2</v>
      </c>
      <c r="E1" s="19" t="s">
        <v>111</v>
      </c>
      <c r="F1" s="19" t="s">
        <v>112</v>
      </c>
      <c r="G1" s="19" t="s">
        <v>120</v>
      </c>
    </row>
    <row r="2" spans="1:9" x14ac:dyDescent="0.25">
      <c r="A2" s="9">
        <f>_xlfn.XLOOKUP(B2,[1]DS!$B$2:$B$40,[1]DS!$A$2:$A$40)</f>
        <v>1</v>
      </c>
      <c r="B2" s="17" t="s">
        <v>38</v>
      </c>
      <c r="C2" s="9" t="s">
        <v>39</v>
      </c>
      <c r="D2" s="9" t="s">
        <v>40</v>
      </c>
      <c r="E2" s="9" t="str">
        <f>_xlfn.XLOOKUP(B2,[1]DS!$B$2:$B$40,[1]DS!$F$2:$F$40)</f>
        <v>Lãnh đạo</v>
      </c>
      <c r="F2" s="9" t="str">
        <f>_xlfn.XLOOKUP(B2,[1]DS!$B$2:$B$40,[1]DS!$G$2:$G$40)</f>
        <v>Giám đốc</v>
      </c>
      <c r="G2" s="6">
        <f>_xlfn.XLOOKUP(B2,'Tổng hợp'!$B$4:$B$42,'Tổng hợp'!$AO$4:$AO$42,,0)</f>
        <v>1023000</v>
      </c>
    </row>
    <row r="3" spans="1:9" x14ac:dyDescent="0.25">
      <c r="A3" s="9">
        <f>_xlfn.XLOOKUP(B3,[1]DS!$B$2:$B$40,[1]DS!$A$2:$A$40)</f>
        <v>2</v>
      </c>
      <c r="B3" s="17" t="s">
        <v>42</v>
      </c>
      <c r="C3" s="9" t="s">
        <v>43</v>
      </c>
      <c r="D3" s="9" t="s">
        <v>40</v>
      </c>
      <c r="E3" s="9" t="str">
        <f>_xlfn.XLOOKUP(B3,[1]DS!$B$2:$B$40,[1]DS!$F$2:$F$40)</f>
        <v>Lãnh đạo</v>
      </c>
      <c r="F3" s="9" t="str">
        <f>_xlfn.XLOOKUP(B3,[1]DS!$B$2:$B$40,[1]DS!$G$2:$G$40)</f>
        <v>Phó giám đốc</v>
      </c>
      <c r="G3" s="6">
        <f>_xlfn.XLOOKUP(B3,'Tổng hợp'!$B$4:$B$42,'Tổng hợp'!$AO$4:$AO$42,,0)</f>
        <v>1023000</v>
      </c>
    </row>
    <row r="4" spans="1:9" x14ac:dyDescent="0.25">
      <c r="A4" s="9">
        <f>_xlfn.XLOOKUP(B4,[1]DS!$B$2:$B$40,[1]DS!$A$2:$A$40)</f>
        <v>3</v>
      </c>
      <c r="B4" s="17" t="s">
        <v>44</v>
      </c>
      <c r="C4" s="9" t="s">
        <v>45</v>
      </c>
      <c r="D4" s="9" t="s">
        <v>40</v>
      </c>
      <c r="E4" s="9" t="str">
        <f>_xlfn.XLOOKUP(B4,[1]DS!$B$2:$B$40,[1]DS!$F$2:$F$40)</f>
        <v>Phòng Hành chính-Tổng hợp</v>
      </c>
      <c r="F4" s="9" t="str">
        <f>_xlfn.XLOOKUP(B4,[1]DS!$B$2:$B$40,[1]DS!$G$2:$G$40)</f>
        <v>Trưởng phòng</v>
      </c>
      <c r="G4" s="6">
        <f>_xlfn.XLOOKUP(B4,'Tổng hợp'!$B$4:$B$42,'Tổng hợp'!$AO$4:$AO$42,,0)</f>
        <v>1023000</v>
      </c>
    </row>
    <row r="5" spans="1:9" x14ac:dyDescent="0.25">
      <c r="A5" s="9">
        <f>_xlfn.XLOOKUP(B5,[1]DS!$B$2:$B$40,[1]DS!$A$2:$A$40)</f>
        <v>4</v>
      </c>
      <c r="B5" s="17" t="s">
        <v>46</v>
      </c>
      <c r="C5" s="9" t="s">
        <v>45</v>
      </c>
      <c r="D5" s="9" t="s">
        <v>40</v>
      </c>
      <c r="E5" s="9" t="str">
        <f>_xlfn.XLOOKUP(B5,[1]DS!$B$2:$B$40,[1]DS!$F$2:$F$40)</f>
        <v>Phòng Hành chính-Tổng hợp</v>
      </c>
      <c r="F5" s="9" t="str">
        <f>_xlfn.XLOOKUP(B5,[1]DS!$B$2:$B$40,[1]DS!$G$2:$G$40)</f>
        <v>Nhân viên lái xe</v>
      </c>
      <c r="G5" s="6">
        <f>_xlfn.XLOOKUP(B5,'Tổng hợp'!$B$4:$B$42,'Tổng hợp'!$AO$4:$AO$42,,0)</f>
        <v>1439000</v>
      </c>
      <c r="I5" t="s">
        <v>118</v>
      </c>
    </row>
    <row r="6" spans="1:9" x14ac:dyDescent="0.25">
      <c r="A6" s="9">
        <f>_xlfn.XLOOKUP(B6,[1]DS!$B$2:$B$40,[1]DS!$A$2:$A$40)</f>
        <v>5</v>
      </c>
      <c r="B6" s="17" t="s">
        <v>93</v>
      </c>
      <c r="C6" s="9">
        <v>1975</v>
      </c>
      <c r="D6" s="9" t="s">
        <v>40</v>
      </c>
      <c r="E6" s="9" t="str">
        <f>_xlfn.XLOOKUP(B6,[1]DS!$B$2:$B$40,[1]DS!$F$2:$F$40)</f>
        <v>Phòng Kế hoạch</v>
      </c>
      <c r="F6" s="9" t="str">
        <f>_xlfn.XLOOKUP(B6,[1]DS!$B$2:$B$40,[1]DS!$G$2:$G$40)</f>
        <v>Trưởng phòng</v>
      </c>
      <c r="G6" s="6">
        <f>_xlfn.XLOOKUP(B6,'Tổng hợp'!$B$4:$B$42,'Tổng hợp'!$AO$4:$AO$42,,0)</f>
        <v>1023000</v>
      </c>
    </row>
    <row r="7" spans="1:9" x14ac:dyDescent="0.25">
      <c r="A7" s="9">
        <f>_xlfn.XLOOKUP(B7,[1]DS!$B$2:$B$40,[1]DS!$A$2:$A$40)</f>
        <v>6</v>
      </c>
      <c r="B7" s="17" t="s">
        <v>47</v>
      </c>
      <c r="C7" s="9" t="s">
        <v>48</v>
      </c>
      <c r="D7" s="9" t="s">
        <v>40</v>
      </c>
      <c r="E7" s="9" t="str">
        <f>_xlfn.XLOOKUP(B7,[1]DS!$B$2:$B$40,[1]DS!$F$2:$F$40)</f>
        <v>Phòng Kế hoạch</v>
      </c>
      <c r="F7" s="9" t="str">
        <f>_xlfn.XLOOKUP(B7,[1]DS!$B$2:$B$40,[1]DS!$G$2:$G$40)</f>
        <v>Chuyên viên</v>
      </c>
      <c r="G7" s="6">
        <f>_xlfn.XLOOKUP(B7,'Tổng hợp'!$B$4:$B$42,'Tổng hợp'!$AO$4:$AO$42,,0)</f>
        <v>1023000</v>
      </c>
    </row>
    <row r="8" spans="1:9" x14ac:dyDescent="0.25">
      <c r="A8" s="9">
        <f>_xlfn.XLOOKUP(B8,[1]DS!$B$2:$B$40,[1]DS!$A$2:$A$40)</f>
        <v>7</v>
      </c>
      <c r="B8" s="17" t="s">
        <v>49</v>
      </c>
      <c r="C8" s="9" t="s">
        <v>50</v>
      </c>
      <c r="D8" s="9" t="s">
        <v>40</v>
      </c>
      <c r="E8" s="9" t="str">
        <f>_xlfn.XLOOKUP(B8,[1]DS!$B$2:$B$40,[1]DS!$F$2:$F$40)</f>
        <v xml:space="preserve">Phòng Kế hoạch </v>
      </c>
      <c r="F8" s="9" t="str">
        <f>_xlfn.XLOOKUP(B8,[1]DS!$B$2:$B$40,[1]DS!$G$2:$G$40)</f>
        <v>Chuyên viên</v>
      </c>
      <c r="G8" s="6">
        <f>_xlfn.XLOOKUP(B8,'Tổng hợp'!$B$4:$B$42,'Tổng hợp'!$AO$4:$AO$42,,0)</f>
        <v>1023000</v>
      </c>
    </row>
    <row r="9" spans="1:9" x14ac:dyDescent="0.25">
      <c r="A9" s="9">
        <f>_xlfn.XLOOKUP(B9,[1]DS!$B$2:$B$40,[1]DS!$A$2:$A$40)</f>
        <v>8</v>
      </c>
      <c r="B9" s="17" t="s">
        <v>51</v>
      </c>
      <c r="C9" s="9" t="s">
        <v>52</v>
      </c>
      <c r="D9" s="9" t="s">
        <v>40</v>
      </c>
      <c r="E9" s="9" t="str">
        <f>_xlfn.XLOOKUP(B9,[1]DS!$B$2:$B$40,[1]DS!$F$2:$F$40)</f>
        <v xml:space="preserve">Phòng Kế hoạch </v>
      </c>
      <c r="F9" s="9" t="str">
        <f>_xlfn.XLOOKUP(B9,[1]DS!$B$2:$B$40,[1]DS!$G$2:$G$40)</f>
        <v>Chuyên viên</v>
      </c>
      <c r="G9" s="6">
        <f>_xlfn.XLOOKUP(B9,'Tổng hợp'!$B$4:$B$42,'Tổng hợp'!$AO$4:$AO$42,,0)</f>
        <v>1023000</v>
      </c>
    </row>
    <row r="10" spans="1:9" x14ac:dyDescent="0.25">
      <c r="A10" s="9">
        <f>_xlfn.XLOOKUP(B10,[1]DS!$B$2:$B$40,[1]DS!$A$2:$A$40)</f>
        <v>9</v>
      </c>
      <c r="B10" s="17" t="s">
        <v>53</v>
      </c>
      <c r="C10" s="9" t="s">
        <v>54</v>
      </c>
      <c r="D10" s="9" t="s">
        <v>40</v>
      </c>
      <c r="E10" s="9" t="str">
        <f>_xlfn.XLOOKUP(B10,[1]DS!$B$2:$B$40,[1]DS!$F$2:$F$40)</f>
        <v>Phòng Kỹ Thuật</v>
      </c>
      <c r="F10" s="9" t="str">
        <f>_xlfn.XLOOKUP(B10,[1]DS!$B$2:$B$40,[1]DS!$G$2:$G$40)</f>
        <v>Trưởng phòng</v>
      </c>
      <c r="G10" s="6">
        <f>_xlfn.XLOOKUP(B10,'Tổng hợp'!$B$4:$B$42,'Tổng hợp'!$AO$4:$AO$42,,0)</f>
        <v>1023000</v>
      </c>
    </row>
    <row r="11" spans="1:9" x14ac:dyDescent="0.25">
      <c r="A11" s="9">
        <f>_xlfn.XLOOKUP(B11,[1]DS!$B$2:$B$40,[1]DS!$A$2:$A$40)</f>
        <v>10</v>
      </c>
      <c r="B11" s="17" t="s">
        <v>104</v>
      </c>
      <c r="C11" s="9">
        <v>1985</v>
      </c>
      <c r="D11" s="9" t="s">
        <v>40</v>
      </c>
      <c r="E11" s="9" t="str">
        <f>_xlfn.XLOOKUP(B11,[1]DS!$B$2:$B$40,[1]DS!$F$2:$F$40)</f>
        <v>Phòng Kỹ Thuật</v>
      </c>
      <c r="F11" s="9" t="str">
        <f>_xlfn.XLOOKUP(B11,[1]DS!$B$2:$B$40,[1]DS!$G$2:$G$40)</f>
        <v>Chuyên viên</v>
      </c>
      <c r="G11" s="6">
        <f>_xlfn.XLOOKUP(B11,'Tổng hợp'!$B$4:$B$42,'Tổng hợp'!$AO$4:$AO$42,,0)</f>
        <v>1023000</v>
      </c>
    </row>
    <row r="12" spans="1:9" x14ac:dyDescent="0.25">
      <c r="A12" s="9">
        <f>_xlfn.XLOOKUP(B12,[1]DS!$B$2:$B$40,[1]DS!$A$2:$A$40)</f>
        <v>11</v>
      </c>
      <c r="B12" s="17" t="s">
        <v>95</v>
      </c>
      <c r="C12" s="9" t="s">
        <v>96</v>
      </c>
      <c r="D12" s="9" t="s">
        <v>40</v>
      </c>
      <c r="E12" s="9" t="str">
        <f>_xlfn.XLOOKUP(B12,[1]DS!$B$2:$B$40,[1]DS!$F$2:$F$40)</f>
        <v>Phòng Kỹ Thuật</v>
      </c>
      <c r="F12" s="9" t="str">
        <f>_xlfn.XLOOKUP(B12,[1]DS!$B$2:$B$40,[1]DS!$G$2:$G$40)</f>
        <v>Chuyên viên</v>
      </c>
      <c r="G12" s="6">
        <f>_xlfn.XLOOKUP(B12,'Tổng hợp'!$B$4:$B$42,'Tổng hợp'!$AO$4:$AO$42,,0)</f>
        <v>1023000</v>
      </c>
    </row>
    <row r="13" spans="1:9" x14ac:dyDescent="0.25">
      <c r="A13" s="9">
        <f>_xlfn.XLOOKUP(B13,[1]DS!$B$2:$B$40,[1]DS!$A$2:$A$40)</f>
        <v>12</v>
      </c>
      <c r="B13" s="17" t="s">
        <v>102</v>
      </c>
      <c r="C13" s="9" t="s">
        <v>103</v>
      </c>
      <c r="D13" s="9" t="s">
        <v>40</v>
      </c>
      <c r="E13" s="9" t="str">
        <f>_xlfn.XLOOKUP(B13,[1]DS!$B$2:$B$40,[1]DS!$F$2:$F$40)</f>
        <v>Phòng Kỹ Thuật</v>
      </c>
      <c r="F13" s="9" t="str">
        <f>_xlfn.XLOOKUP(B13,[1]DS!$B$2:$B$40,[1]DS!$G$2:$G$40)</f>
        <v>Chuyên viên</v>
      </c>
      <c r="G13" s="6">
        <f>_xlfn.XLOOKUP(B13,'Tổng hợp'!$B$4:$B$42,'Tổng hợp'!$AO$4:$AO$42,,0)</f>
        <v>1023000</v>
      </c>
    </row>
    <row r="14" spans="1:9" x14ac:dyDescent="0.25">
      <c r="A14" s="9">
        <f>_xlfn.XLOOKUP(B14,[1]DS!$B$2:$B$40,[1]DS!$A$2:$A$40)</f>
        <v>13</v>
      </c>
      <c r="B14" s="17" t="s">
        <v>55</v>
      </c>
      <c r="C14" s="9" t="s">
        <v>43</v>
      </c>
      <c r="D14" s="9" t="s">
        <v>40</v>
      </c>
      <c r="E14" s="9" t="str">
        <f>_xlfn.XLOOKUP(B14,[1]DS!$B$2:$B$40,[1]DS!$F$2:$F$40)</f>
        <v>Phòng QL KCN DVTS Đà Nẵng</v>
      </c>
      <c r="F14" s="9" t="str">
        <f>_xlfn.XLOOKUP(B14,[1]DS!$B$2:$B$40,[1]DS!$G$2:$G$40)</f>
        <v>Trưởng phòng</v>
      </c>
      <c r="G14" s="6">
        <f>_xlfn.XLOOKUP(B14,'Tổng hợp'!$B$4:$B$42,'Tổng hợp'!$AO$4:$AO$42,,0)</f>
        <v>1023000</v>
      </c>
    </row>
    <row r="15" spans="1:9" x14ac:dyDescent="0.25">
      <c r="A15" s="9">
        <f>_xlfn.XLOOKUP(B15,[1]DS!$B$2:$B$40,[1]DS!$A$2:$A$40)</f>
        <v>14</v>
      </c>
      <c r="B15" s="17" t="s">
        <v>56</v>
      </c>
      <c r="C15" s="9" t="s">
        <v>57</v>
      </c>
      <c r="D15" s="9" t="s">
        <v>40</v>
      </c>
      <c r="E15" s="9" t="str">
        <f>_xlfn.XLOOKUP(B15,[1]DS!$B$2:$B$40,[1]DS!$F$2:$F$40)</f>
        <v>Phòng QL KCN DVTS Đà Nẵng</v>
      </c>
      <c r="F15" s="9" t="str">
        <f>_xlfn.XLOOKUP(B15,[1]DS!$B$2:$B$40,[1]DS!$G$2:$G$40)</f>
        <v>Cán sự</v>
      </c>
      <c r="G15" s="6">
        <f>_xlfn.XLOOKUP(B15,'Tổng hợp'!$B$4:$B$42,'Tổng hợp'!$AO$4:$AO$42,,0)</f>
        <v>1023000</v>
      </c>
    </row>
    <row r="16" spans="1:9" x14ac:dyDescent="0.25">
      <c r="A16" s="9">
        <f>_xlfn.XLOOKUP(B16,[1]DS!$B$2:$B$40,[1]DS!$A$2:$A$40)</f>
        <v>15</v>
      </c>
      <c r="B16" s="17" t="s">
        <v>58</v>
      </c>
      <c r="C16" s="9" t="s">
        <v>59</v>
      </c>
      <c r="D16" s="9" t="s">
        <v>40</v>
      </c>
      <c r="E16" s="9" t="str">
        <f>_xlfn.XLOOKUP(B16,[1]DS!$B$2:$B$40,[1]DS!$F$2:$F$40)</f>
        <v>Phòng QL KCN DVTS Đà Nẵng</v>
      </c>
      <c r="F16" s="9" t="str">
        <f>_xlfn.XLOOKUP(B16,[1]DS!$B$2:$B$40,[1]DS!$G$2:$G$40)</f>
        <v>Nhân viên bảo vệ</v>
      </c>
      <c r="G16" s="6">
        <f>_xlfn.XLOOKUP(B16,'Tổng hợp'!$B$4:$B$42,'Tổng hợp'!$AO$4:$AO$42,,0)</f>
        <v>921000</v>
      </c>
    </row>
    <row r="17" spans="1:7" x14ac:dyDescent="0.25">
      <c r="A17" s="9">
        <f>_xlfn.XLOOKUP(B17,[1]DS!$B$2:$B$40,[1]DS!$A$2:$A$40)</f>
        <v>16</v>
      </c>
      <c r="B17" s="17" t="s">
        <v>60</v>
      </c>
      <c r="C17" s="9" t="s">
        <v>59</v>
      </c>
      <c r="D17" s="9" t="s">
        <v>40</v>
      </c>
      <c r="E17" s="9" t="str">
        <f>_xlfn.XLOOKUP(B17,[1]DS!$B$2:$B$40,[1]DS!$F$2:$F$40)</f>
        <v>Phòng QL KCN DVTS Đà Nẵng</v>
      </c>
      <c r="F17" s="9" t="str">
        <f>_xlfn.XLOOKUP(B17,[1]DS!$B$2:$B$40,[1]DS!$G$2:$G$40)</f>
        <v>Nhân viên bảo vệ</v>
      </c>
      <c r="G17" s="6">
        <f>_xlfn.XLOOKUP(B17,'Tổng hợp'!$B$4:$B$42,'Tổng hợp'!$AO$4:$AO$42,,0)</f>
        <v>1023000</v>
      </c>
    </row>
    <row r="18" spans="1:7" x14ac:dyDescent="0.25">
      <c r="A18" s="9">
        <f>_xlfn.XLOOKUP(B18,[1]DS!$B$2:$B$40,[1]DS!$A$2:$A$40)</f>
        <v>17</v>
      </c>
      <c r="B18" s="17" t="s">
        <v>97</v>
      </c>
      <c r="C18" s="9" t="s">
        <v>98</v>
      </c>
      <c r="D18" s="9" t="s">
        <v>40</v>
      </c>
      <c r="E18" s="9" t="str">
        <f>_xlfn.XLOOKUP(B18,[1]DS!$B$2:$B$40,[1]DS!$F$2:$F$40)</f>
        <v>Phòng QL KCN DVTS Đà Nẵng</v>
      </c>
      <c r="F18" s="9" t="str">
        <f>_xlfn.XLOOKUP(B18,[1]DS!$B$2:$B$40,[1]DS!$G$2:$G$40)</f>
        <v>Nhân viên bảo vệ</v>
      </c>
      <c r="G18" s="6">
        <f>_xlfn.XLOOKUP(B18,'Tổng hợp'!$B$4:$B$42,'Tổng hợp'!$AO$4:$AO$42,,0)</f>
        <v>1023000</v>
      </c>
    </row>
    <row r="19" spans="1:7" x14ac:dyDescent="0.25">
      <c r="A19" s="9">
        <f>_xlfn.XLOOKUP(B19,[1]DS!$B$2:$B$40,[1]DS!$A$2:$A$40)</f>
        <v>18</v>
      </c>
      <c r="B19" s="17" t="s">
        <v>113</v>
      </c>
      <c r="C19" s="9" t="s">
        <v>50</v>
      </c>
      <c r="D19" s="9" t="s">
        <v>40</v>
      </c>
      <c r="E19" s="9" t="str">
        <f>_xlfn.XLOOKUP(B19,[1]DS!$B$2:$B$40,[1]DS!$F$2:$F$40)</f>
        <v>Xí nghiệp QL&amp;DV KCN Hòa Khánh</v>
      </c>
      <c r="F19" s="9" t="str">
        <f>_xlfn.XLOOKUP(B19,[1]DS!$B$2:$B$40,[1]DS!$G$2:$G$40)</f>
        <v>Giám đốc XN</v>
      </c>
      <c r="G19" s="6">
        <f>_xlfn.XLOOKUP(B19,'Tổng hợp'!$B$4:$B$42,'Tổng hợp'!$AO$4:$AO$42,,0)</f>
        <v>1023000</v>
      </c>
    </row>
    <row r="20" spans="1:7" x14ac:dyDescent="0.25">
      <c r="A20" s="9">
        <f>_xlfn.XLOOKUP(B20,[1]DS!$B$2:$B$40,[1]DS!$A$2:$A$40)</f>
        <v>19</v>
      </c>
      <c r="B20" s="17" t="s">
        <v>61</v>
      </c>
      <c r="C20" s="9">
        <v>1977</v>
      </c>
      <c r="D20" s="9" t="s">
        <v>40</v>
      </c>
      <c r="E20" s="9" t="str">
        <f>_xlfn.XLOOKUP(B20,[1]DS!$B$2:$B$40,[1]DS!$F$2:$F$40)</f>
        <v>Xí nghiệp QL&amp;DV KCN Hòa Khánh</v>
      </c>
      <c r="F20" s="9" t="str">
        <f>_xlfn.XLOOKUP(B20,[1]DS!$B$2:$B$40,[1]DS!$G$2:$G$40)</f>
        <v>Phó giám đốc XN</v>
      </c>
      <c r="G20" s="6">
        <f>_xlfn.XLOOKUP(B20,'Tổng hợp'!$B$4:$B$42,'Tổng hợp'!$AO$4:$AO$42,,0)</f>
        <v>1023000</v>
      </c>
    </row>
    <row r="21" spans="1:7" x14ac:dyDescent="0.25">
      <c r="A21" s="9">
        <f>_xlfn.XLOOKUP(B21,[1]DS!$B$2:$B$40,[1]DS!$A$2:$A$40)</f>
        <v>20</v>
      </c>
      <c r="B21" s="17" t="s">
        <v>99</v>
      </c>
      <c r="C21" s="9" t="s">
        <v>70</v>
      </c>
      <c r="D21" s="9" t="s">
        <v>40</v>
      </c>
      <c r="E21" s="9" t="str">
        <f>_xlfn.XLOOKUP(B21,[1]DS!$B$2:$B$40,[1]DS!$F$2:$F$40)</f>
        <v>Xí nghiệp QL&amp;DV KCN Hòa Khánh</v>
      </c>
      <c r="F21" s="9" t="str">
        <f>_xlfn.XLOOKUP(B21,[1]DS!$B$2:$B$40,[1]DS!$G$2:$G$40)</f>
        <v>Phó giám đốc XN</v>
      </c>
      <c r="G21" s="6">
        <f>_xlfn.XLOOKUP(B21,'Tổng hợp'!$B$4:$B$42,'Tổng hợp'!$AO$4:$AO$42,,0)</f>
        <v>1023000</v>
      </c>
    </row>
    <row r="22" spans="1:7" x14ac:dyDescent="0.25">
      <c r="A22" s="9">
        <f>_xlfn.XLOOKUP(B22,[1]DS!$B$2:$B$40,[1]DS!$A$2:$A$40)</f>
        <v>21</v>
      </c>
      <c r="B22" s="17" t="s">
        <v>100</v>
      </c>
      <c r="C22" s="9" t="s">
        <v>45</v>
      </c>
      <c r="D22" s="9" t="s">
        <v>40</v>
      </c>
      <c r="E22" s="9" t="str">
        <f>_xlfn.XLOOKUP(B22,[1]DS!$B$2:$B$40,[1]DS!$F$2:$F$40)</f>
        <v>Xí nghiệp QL&amp;DV KCN Hòa Khánh</v>
      </c>
      <c r="F22" s="9" t="str">
        <f>_xlfn.XLOOKUP(B22,[1]DS!$B$2:$B$40,[1]DS!$G$2:$G$40)</f>
        <v>Cán sự</v>
      </c>
      <c r="G22" s="6">
        <f>_xlfn.XLOOKUP(B22,'Tổng hợp'!$B$4:$B$42,'Tổng hợp'!$AO$4:$AO$42,,0)</f>
        <v>1023000</v>
      </c>
    </row>
    <row r="23" spans="1:7" x14ac:dyDescent="0.25">
      <c r="A23" s="9">
        <f>_xlfn.XLOOKUP(B23,[1]DS!$B$2:$B$40,[1]DS!$A$2:$A$40)</f>
        <v>22</v>
      </c>
      <c r="B23" s="17" t="s">
        <v>63</v>
      </c>
      <c r="C23" s="9" t="s">
        <v>39</v>
      </c>
      <c r="D23" s="9" t="s">
        <v>40</v>
      </c>
      <c r="E23" s="9" t="str">
        <f>_xlfn.XLOOKUP(B23,[1]DS!$B$2:$B$40,[1]DS!$F$2:$F$40)</f>
        <v>Xí nghiệp QL&amp;DV KCN Hòa Khánh</v>
      </c>
      <c r="F23" s="9" t="str">
        <f>_xlfn.XLOOKUP(B23,[1]DS!$B$2:$B$40,[1]DS!$G$2:$G$40)</f>
        <v>Nhân viên bảo vệ</v>
      </c>
      <c r="G23" s="6">
        <f>_xlfn.XLOOKUP(B23,'Tổng hợp'!$B$4:$B$42,'Tổng hợp'!$AO$4:$AO$42,,0)</f>
        <v>1023000</v>
      </c>
    </row>
    <row r="24" spans="1:7" x14ac:dyDescent="0.25">
      <c r="A24" s="9">
        <f>_xlfn.XLOOKUP(B24,[1]DS!$B$2:$B$40,[1]DS!$A$2:$A$40)</f>
        <v>23</v>
      </c>
      <c r="B24" s="17" t="s">
        <v>64</v>
      </c>
      <c r="C24" s="9" t="s">
        <v>48</v>
      </c>
      <c r="D24" s="9" t="s">
        <v>40</v>
      </c>
      <c r="E24" s="9" t="str">
        <f>_xlfn.XLOOKUP(B24,[1]DS!$B$2:$B$40,[1]DS!$F$2:$F$40)</f>
        <v>Xí nghiệp QL&amp;DV KCN Hòa Khánh</v>
      </c>
      <c r="F24" s="9" t="str">
        <f>_xlfn.XLOOKUP(B24,[1]DS!$B$2:$B$40,[1]DS!$G$2:$G$40)</f>
        <v>Nhân viên lái xe</v>
      </c>
      <c r="G24" s="6">
        <f>_xlfn.XLOOKUP(B24,'Tổng hợp'!$B$4:$B$42,'Tổng hợp'!$AO$4:$AO$42,,0)</f>
        <v>1439000</v>
      </c>
    </row>
    <row r="25" spans="1:7" x14ac:dyDescent="0.25">
      <c r="A25" s="9">
        <f>_xlfn.XLOOKUP(B25,[1]DS!$B$2:$B$40,[1]DS!$A$2:$A$40)</f>
        <v>24</v>
      </c>
      <c r="B25" s="17" t="s">
        <v>65</v>
      </c>
      <c r="C25" s="9">
        <v>1993</v>
      </c>
      <c r="D25" s="9" t="s">
        <v>40</v>
      </c>
      <c r="E25" s="9" t="str">
        <f>_xlfn.XLOOKUP(B25,[1]DS!$B$2:$B$40,[1]DS!$F$2:$F$40)</f>
        <v>Xí nghiệp QL&amp;DV KCN Hòa Khánh</v>
      </c>
      <c r="F25" s="9" t="str">
        <f>_xlfn.XLOOKUP(B25,[1]DS!$B$2:$B$40,[1]DS!$G$2:$G$40)</f>
        <v>Nhân viên lái xe</v>
      </c>
      <c r="G25" s="6">
        <f>_xlfn.XLOOKUP(B25,'Tổng hợp'!$B$4:$B$42,'Tổng hợp'!$AO$4:$AO$42,,0)</f>
        <v>1439000</v>
      </c>
    </row>
    <row r="26" spans="1:7" x14ac:dyDescent="0.25">
      <c r="A26" s="9">
        <f>_xlfn.XLOOKUP(B26,[1]DS!$B$2:$B$40,[1]DS!$A$2:$A$40)</f>
        <v>25</v>
      </c>
      <c r="B26" s="17" t="s">
        <v>67</v>
      </c>
      <c r="C26" s="9" t="s">
        <v>68</v>
      </c>
      <c r="D26" s="9" t="s">
        <v>40</v>
      </c>
      <c r="E26" s="9" t="str">
        <f>_xlfn.XLOOKUP(B26,[1]DS!$B$2:$B$40,[1]DS!$F$2:$F$40)</f>
        <v>Xí nghiệp QL&amp;DV KCN Hòa Khánh</v>
      </c>
      <c r="F26" s="9" t="str">
        <f>_xlfn.XLOOKUP(B26,[1]DS!$B$2:$B$40,[1]DS!$G$2:$G$40)</f>
        <v>Nhân viên bảo vệ</v>
      </c>
      <c r="G26" s="6">
        <f>_xlfn.XLOOKUP(B26,'Tổng hợp'!$B$4:$B$42,'Tổng hợp'!$AO$4:$AO$42,,0)</f>
        <v>1023000</v>
      </c>
    </row>
    <row r="27" spans="1:7" x14ac:dyDescent="0.25">
      <c r="A27" s="9">
        <f>_xlfn.XLOOKUP(B27,[1]DS!$B$2:$B$40,[1]DS!$A$2:$A$40)</f>
        <v>26</v>
      </c>
      <c r="B27" s="17" t="s">
        <v>69</v>
      </c>
      <c r="C27" s="9" t="s">
        <v>70</v>
      </c>
      <c r="D27" s="9" t="s">
        <v>40</v>
      </c>
      <c r="E27" s="9" t="str">
        <f>_xlfn.XLOOKUP(B27,[1]DS!$B$2:$B$40,[1]DS!$F$2:$F$40)</f>
        <v>Xí nghiệp QL&amp;DV KCN Hòa Khánh</v>
      </c>
      <c r="F27" s="9" t="str">
        <f>_xlfn.XLOOKUP(B27,[1]DS!$B$2:$B$40,[1]DS!$G$2:$G$40)</f>
        <v>Nhân viên bảo vệ</v>
      </c>
      <c r="G27" s="6">
        <f>_xlfn.XLOOKUP(B27,'Tổng hợp'!$B$4:$B$42,'Tổng hợp'!$AO$4:$AO$42,,0)</f>
        <v>1023000</v>
      </c>
    </row>
    <row r="28" spans="1:7" x14ac:dyDescent="0.25">
      <c r="A28" s="9">
        <f>_xlfn.XLOOKUP(B28,[1]DS!$B$2:$B$40,[1]DS!$A$2:$A$40)</f>
        <v>27</v>
      </c>
      <c r="B28" s="17" t="s">
        <v>71</v>
      </c>
      <c r="C28" s="9" t="s">
        <v>72</v>
      </c>
      <c r="D28" s="9" t="s">
        <v>40</v>
      </c>
      <c r="E28" s="9" t="str">
        <f>_xlfn.XLOOKUP(B28,[1]DS!$B$2:$B$40,[1]DS!$F$2:$F$40)</f>
        <v>Xí nghiệp QL&amp;DV KCN Hòa Khánh</v>
      </c>
      <c r="F28" s="9" t="str">
        <f>_xlfn.XLOOKUP(B28,[1]DS!$B$2:$B$40,[1]DS!$G$2:$G$40)</f>
        <v>Nhân viên bảo vệ</v>
      </c>
      <c r="G28" s="6">
        <f>_xlfn.XLOOKUP(B28,'Tổng hợp'!$B$4:$B$42,'Tổng hợp'!$AO$4:$AO$42,,0)</f>
        <v>1023000</v>
      </c>
    </row>
    <row r="29" spans="1:7" x14ac:dyDescent="0.25">
      <c r="A29" s="9">
        <f>_xlfn.XLOOKUP(B29,[1]DS!$B$2:$B$40,[1]DS!$A$2:$A$40)</f>
        <v>28</v>
      </c>
      <c r="B29" s="17" t="s">
        <v>101</v>
      </c>
      <c r="C29" s="9" t="s">
        <v>98</v>
      </c>
      <c r="D29" s="9" t="s">
        <v>40</v>
      </c>
      <c r="E29" s="9" t="str">
        <f>_xlfn.XLOOKUP(B29,[1]DS!$B$2:$B$40,[1]DS!$F$2:$F$40)</f>
        <v>Xí nghiệp QL&amp;DV KCN Hòa Khánh</v>
      </c>
      <c r="F29" s="9" t="str">
        <f>_xlfn.XLOOKUP(B29,[1]DS!$B$2:$B$40,[1]DS!$G$2:$G$40)</f>
        <v>Nhân viên bảo vệ</v>
      </c>
      <c r="G29" s="6">
        <f>_xlfn.XLOOKUP(B29,'Tổng hợp'!$B$4:$B$42,'Tổng hợp'!$AO$4:$AO$42,,0)</f>
        <v>1023000</v>
      </c>
    </row>
    <row r="30" spans="1:7" x14ac:dyDescent="0.25">
      <c r="A30" s="9">
        <f>_xlfn.XLOOKUP(B30,[1]DS!$B$2:$B$40,[1]DS!$A$2:$A$40)</f>
        <v>29</v>
      </c>
      <c r="B30" s="17" t="s">
        <v>73</v>
      </c>
      <c r="C30" s="9" t="s">
        <v>74</v>
      </c>
      <c r="D30" s="9" t="s">
        <v>75</v>
      </c>
      <c r="E30" s="9" t="str">
        <f>_xlfn.XLOOKUP(B30,[1]DS!$B$2:$B$40,[1]DS!$F$2:$F$40)</f>
        <v>Lãnh đạo</v>
      </c>
      <c r="F30" s="9" t="str">
        <f>_xlfn.XLOOKUP(B30,[1]DS!$B$2:$B$40,[1]DS!$G$2:$G$40)</f>
        <v>Phó giám đốc</v>
      </c>
      <c r="G30" s="6">
        <f>_xlfn.XLOOKUP(B30,'Tổng hợp'!$B$4:$B$42,'Tổng hợp'!$AO$4:$AO$42,,0)</f>
        <v>1023000</v>
      </c>
    </row>
    <row r="31" spans="1:7" x14ac:dyDescent="0.25">
      <c r="A31" s="9">
        <f>_xlfn.XLOOKUP(B31,[1]DS!$B$2:$B$40,[1]DS!$A$2:$A$40)</f>
        <v>30</v>
      </c>
      <c r="B31" s="17" t="s">
        <v>76</v>
      </c>
      <c r="C31" s="9">
        <v>1976</v>
      </c>
      <c r="D31" s="9" t="s">
        <v>75</v>
      </c>
      <c r="E31" s="9" t="str">
        <f>_xlfn.XLOOKUP(B31,[1]DS!$B$2:$B$40,[1]DS!$F$2:$F$40)</f>
        <v>Phòng Hành chính-Tổng hợp</v>
      </c>
      <c r="F31" s="9" t="str">
        <f>_xlfn.XLOOKUP(B31,[1]DS!$B$2:$B$40,[1]DS!$G$2:$G$40)</f>
        <v>Phó trưởng phòng</v>
      </c>
      <c r="G31" s="6">
        <f>_xlfn.XLOOKUP(B31,'Tổng hợp'!$B$4:$B$42,'Tổng hợp'!$AO$4:$AO$42,,0)</f>
        <v>1023000</v>
      </c>
    </row>
    <row r="32" spans="1:7" x14ac:dyDescent="0.25">
      <c r="A32" s="9">
        <f>_xlfn.XLOOKUP(B32,[1]DS!$B$2:$B$40,[1]DS!$A$2:$A$40)</f>
        <v>31</v>
      </c>
      <c r="B32" s="17" t="s">
        <v>78</v>
      </c>
      <c r="C32" s="9" t="s">
        <v>79</v>
      </c>
      <c r="D32" s="9" t="s">
        <v>75</v>
      </c>
      <c r="E32" s="9" t="str">
        <f>_xlfn.XLOOKUP(B32,[1]DS!$B$2:$B$40,[1]DS!$F$2:$F$40)</f>
        <v>Phòng Hành chính-Tổng hợp</v>
      </c>
      <c r="F32" s="9" t="str">
        <f>_xlfn.XLOOKUP(B32,[1]DS!$B$2:$B$40,[1]DS!$G$2:$G$40)</f>
        <v>Văn thư viên</v>
      </c>
      <c r="G32" s="6">
        <f>_xlfn.XLOOKUP(B32,'Tổng hợp'!$B$4:$B$42,'Tổng hợp'!$AO$4:$AO$42,,0)</f>
        <v>1023000</v>
      </c>
    </row>
    <row r="33" spans="1:7" x14ac:dyDescent="0.25">
      <c r="A33" s="9">
        <f>_xlfn.XLOOKUP(B33,[1]DS!$B$2:$B$40,[1]DS!$A$2:$A$40)</f>
        <v>32</v>
      </c>
      <c r="B33" s="17" t="s">
        <v>80</v>
      </c>
      <c r="C33" s="9" t="s">
        <v>81</v>
      </c>
      <c r="D33" s="9" t="s">
        <v>75</v>
      </c>
      <c r="E33" s="9" t="str">
        <f>_xlfn.XLOOKUP(B33,[1]DS!$B$2:$B$40,[1]DS!$F$2:$F$40)</f>
        <v>Phòng Kế hoạch</v>
      </c>
      <c r="F33" s="9" t="str">
        <f>_xlfn.XLOOKUP(B33,[1]DS!$B$2:$B$40,[1]DS!$G$2:$G$40)</f>
        <v>Chuyên viên</v>
      </c>
      <c r="G33" s="6">
        <f>_xlfn.XLOOKUP(B33,'Tổng hợp'!$B$4:$B$42,'Tổng hợp'!$AO$4:$AO$42,,0)</f>
        <v>1023000</v>
      </c>
    </row>
    <row r="34" spans="1:7" x14ac:dyDescent="0.25">
      <c r="A34" s="9">
        <f>_xlfn.XLOOKUP(B34,[1]DS!$B$2:$B$40,[1]DS!$A$2:$A$40)</f>
        <v>33</v>
      </c>
      <c r="B34" s="17" t="s">
        <v>82</v>
      </c>
      <c r="C34" s="9" t="s">
        <v>83</v>
      </c>
      <c r="D34" s="9" t="s">
        <v>75</v>
      </c>
      <c r="E34" s="9" t="str">
        <f>_xlfn.XLOOKUP(B34,[1]DS!$B$2:$B$40,[1]DS!$F$2:$F$40)</f>
        <v>Phòng Kế toán - Tài vụ</v>
      </c>
      <c r="F34" s="9" t="str">
        <f>_xlfn.XLOOKUP(B34,[1]DS!$B$2:$B$40,[1]DS!$G$2:$G$40)</f>
        <v>Trưởng phòng</v>
      </c>
      <c r="G34" s="6">
        <f>_xlfn.XLOOKUP(B34,'Tổng hợp'!$B$4:$B$42,'Tổng hợp'!$AO$4:$AO$42,,0)</f>
        <v>1023000</v>
      </c>
    </row>
    <row r="35" spans="1:7" x14ac:dyDescent="0.25">
      <c r="A35" s="9">
        <f>_xlfn.XLOOKUP(B35,[1]DS!$B$2:$B$40,[1]DS!$A$2:$A$40)</f>
        <v>34</v>
      </c>
      <c r="B35" s="17" t="s">
        <v>84</v>
      </c>
      <c r="C35" s="9" t="s">
        <v>68</v>
      </c>
      <c r="D35" s="9" t="s">
        <v>75</v>
      </c>
      <c r="E35" s="9" t="str">
        <f>_xlfn.XLOOKUP(B35,[1]DS!$B$2:$B$40,[1]DS!$F$2:$F$40)</f>
        <v>Phòng Kế toán - Tài vụ</v>
      </c>
      <c r="F35" s="9" t="str">
        <f>_xlfn.XLOOKUP(B35,[1]DS!$B$2:$B$40,[1]DS!$G$2:$G$40)</f>
        <v>Phó trưởng phòng</v>
      </c>
      <c r="G35" s="6">
        <f>_xlfn.XLOOKUP(B35,'Tổng hợp'!$B$4:$B$42,'Tổng hợp'!$AO$4:$AO$42,,0)</f>
        <v>1023000</v>
      </c>
    </row>
    <row r="36" spans="1:7" x14ac:dyDescent="0.25">
      <c r="A36" s="9">
        <f>_xlfn.XLOOKUP(B36,[1]DS!$B$2:$B$40,[1]DS!$A$2:$A$40)</f>
        <v>35</v>
      </c>
      <c r="B36" s="17" t="s">
        <v>85</v>
      </c>
      <c r="C36" s="9" t="s">
        <v>81</v>
      </c>
      <c r="D36" s="9" t="s">
        <v>75</v>
      </c>
      <c r="E36" s="9" t="str">
        <f>_xlfn.XLOOKUP(B36,[1]DS!$B$2:$B$40,[1]DS!$F$2:$F$40)</f>
        <v>Phòng Kế toán - Tài vụ</v>
      </c>
      <c r="F36" s="9" t="str">
        <f>_xlfn.XLOOKUP(B36,[1]DS!$B$2:$B$40,[1]DS!$G$2:$G$40)</f>
        <v>Chuyên viên</v>
      </c>
      <c r="G36" s="6">
        <f>_xlfn.XLOOKUP(B36,'Tổng hợp'!$B$4:$B$42,'Tổng hợp'!$AO$4:$AO$42,,0)</f>
        <v>1023000</v>
      </c>
    </row>
    <row r="37" spans="1:7" x14ac:dyDescent="0.25">
      <c r="A37" s="9">
        <f>_xlfn.XLOOKUP(B37,[1]DS!$B$2:$B$40,[1]DS!$A$2:$A$40)</f>
        <v>36</v>
      </c>
      <c r="B37" s="17" t="s">
        <v>86</v>
      </c>
      <c r="C37" s="9">
        <v>1989</v>
      </c>
      <c r="D37" s="9" t="s">
        <v>75</v>
      </c>
      <c r="E37" s="9" t="str">
        <f>_xlfn.XLOOKUP(B37,[1]DS!$B$2:$B$40,[1]DS!$F$2:$F$40)</f>
        <v>Phòng Kế toán - Tài vụ</v>
      </c>
      <c r="F37" s="9" t="str">
        <f>_xlfn.XLOOKUP(B37,[1]DS!$B$2:$B$40,[1]DS!$G$2:$G$40)</f>
        <v>Chuyên viên</v>
      </c>
      <c r="G37" s="6">
        <f>_xlfn.XLOOKUP(B37,'Tổng hợp'!$B$4:$B$42,'Tổng hợp'!$AO$4:$AO$42,,0)</f>
        <v>1023000</v>
      </c>
    </row>
    <row r="38" spans="1:7" x14ac:dyDescent="0.25">
      <c r="A38" s="9">
        <f>_xlfn.XLOOKUP(B38,[1]DS!$B$2:$B$40,[1]DS!$A$2:$A$40)</f>
        <v>37</v>
      </c>
      <c r="B38" s="17" t="s">
        <v>88</v>
      </c>
      <c r="C38" s="9" t="s">
        <v>89</v>
      </c>
      <c r="D38" s="9" t="s">
        <v>75</v>
      </c>
      <c r="E38" s="9" t="str">
        <f>_xlfn.XLOOKUP(B38,[1]DS!$B$2:$B$40,[1]DS!$F$2:$F$40)</f>
        <v>Phòng Kế hoạch</v>
      </c>
      <c r="F38" s="9" t="str">
        <f>_xlfn.XLOOKUP(B38,[1]DS!$B$2:$B$40,[1]DS!$G$2:$G$40)</f>
        <v>Phó phòng</v>
      </c>
      <c r="G38" s="6">
        <f>_xlfn.XLOOKUP(B38,'Tổng hợp'!$B$4:$B$42,'Tổng hợp'!$AO$4:$AO$42,,0)</f>
        <v>921000</v>
      </c>
    </row>
    <row r="39" spans="1:7" x14ac:dyDescent="0.25">
      <c r="A39" s="9">
        <f>_xlfn.XLOOKUP(B39,[1]DS!$B$2:$B$40,[1]DS!$A$2:$A$40)</f>
        <v>38</v>
      </c>
      <c r="B39" s="17" t="s">
        <v>90</v>
      </c>
      <c r="C39" s="9">
        <v>1975</v>
      </c>
      <c r="D39" s="9" t="s">
        <v>75</v>
      </c>
      <c r="E39" s="9" t="str">
        <f>_xlfn.XLOOKUP(B39,[1]DS!$B$2:$B$40,[1]DS!$F$2:$F$40)</f>
        <v>Phòng QL KCN DVTS Đà Nẵng</v>
      </c>
      <c r="F39" s="9" t="str">
        <f>_xlfn.XLOOKUP(B39,[1]DS!$B$2:$B$40,[1]DS!$G$2:$G$40)</f>
        <v>Chuyên viên</v>
      </c>
      <c r="G39" s="6">
        <f>_xlfn.XLOOKUP(B39,'Tổng hợp'!$B$4:$B$42,'Tổng hợp'!$AO$4:$AO$42,,0)</f>
        <v>1023000</v>
      </c>
    </row>
    <row r="40" spans="1:7" x14ac:dyDescent="0.25">
      <c r="A40" s="9">
        <f>_xlfn.XLOOKUP(B40,[1]DS!$B$2:$B$40,[1]DS!$A$2:$A$40)</f>
        <v>39</v>
      </c>
      <c r="B40" s="17" t="s">
        <v>92</v>
      </c>
      <c r="C40" s="9" t="s">
        <v>74</v>
      </c>
      <c r="D40" s="9" t="s">
        <v>75</v>
      </c>
      <c r="E40" s="9" t="str">
        <f>_xlfn.XLOOKUP(B40,[1]DS!$B$2:$B$40,[1]DS!$F$2:$F$40)</f>
        <v>Xí nghiệp QL&amp;DV KCN Hòa Khánh</v>
      </c>
      <c r="F40" s="9" t="str">
        <f>_xlfn.XLOOKUP(B40,[1]DS!$B$2:$B$40,[1]DS!$G$2:$G$40)</f>
        <v>Phục vụ</v>
      </c>
      <c r="G40" s="6">
        <f>_xlfn.XLOOKUP(B40,'Tổng hợp'!$B$4:$B$42,'Tổng hợp'!$AO$4:$AO$42,,0)</f>
        <v>1023000</v>
      </c>
    </row>
    <row r="41" spans="1:7" ht="15.75" x14ac:dyDescent="0.25">
      <c r="A41" s="26" t="s">
        <v>119</v>
      </c>
      <c r="B41" s="26"/>
      <c r="C41" s="26"/>
      <c r="D41" s="26"/>
      <c r="E41" s="26"/>
      <c r="F41" s="26"/>
      <c r="G41" s="18">
        <f>SUM(G2:G40)</f>
        <v>40941000</v>
      </c>
    </row>
  </sheetData>
  <mergeCells count="1">
    <mergeCell ref="A41:F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Giang Nguyễn</cp:lastModifiedBy>
  <dcterms:modified xsi:type="dcterms:W3CDTF">2025-05-31T02:10:04Z</dcterms:modified>
</cp:coreProperties>
</file>