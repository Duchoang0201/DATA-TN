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OT DOAN NAM 2025\HĐ 74 - 2025 CÔNG TY PHÁT TRIỂN VÀ KHAI THÁC HẠ TẦNG KHU CÔNG NGHIỆP ĐÀ NẴNG\"/>
    </mc:Choice>
  </mc:AlternateContent>
  <bookViews>
    <workbookView xWindow="0" yWindow="0" windowWidth="24000" windowHeight="9645"/>
  </bookViews>
  <sheets>
    <sheet name="Tổng hợp" sheetId="1" r:id="rId1"/>
  </sheets>
  <definedNames>
    <definedName name="_xlnm._FilterDatabase" localSheetId="0" hidden="1">'Tổng hợp'!$A$2:$M$2</definedName>
  </definedNames>
  <calcPr calcId="162913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6" i="1"/>
  <c r="M17" i="1"/>
  <c r="M19" i="1"/>
  <c r="M20" i="1"/>
  <c r="M21" i="1"/>
  <c r="M22" i="1"/>
  <c r="M24" i="1"/>
  <c r="M25" i="1"/>
  <c r="M26" i="1"/>
  <c r="M28" i="1"/>
  <c r="M29" i="1"/>
  <c r="M31" i="1"/>
  <c r="M32" i="1"/>
  <c r="M33" i="1"/>
  <c r="M34" i="1"/>
  <c r="M35" i="1"/>
  <c r="M36" i="1"/>
  <c r="M37" i="1"/>
  <c r="M38" i="1"/>
  <c r="M39" i="1"/>
  <c r="M41" i="1"/>
  <c r="I4" i="1"/>
  <c r="I5" i="1"/>
  <c r="I6" i="1"/>
  <c r="I7" i="1"/>
  <c r="I8" i="1"/>
  <c r="I9" i="1"/>
  <c r="I10" i="1"/>
  <c r="I11" i="1"/>
  <c r="I12" i="1"/>
  <c r="I13" i="1"/>
  <c r="I14" i="1"/>
  <c r="I16" i="1"/>
  <c r="I17" i="1"/>
  <c r="I19" i="1"/>
  <c r="I20" i="1"/>
  <c r="I21" i="1"/>
  <c r="I22" i="1"/>
  <c r="I24" i="1"/>
  <c r="I25" i="1"/>
  <c r="I26" i="1"/>
  <c r="I28" i="1"/>
  <c r="I29" i="1"/>
  <c r="I31" i="1"/>
  <c r="I32" i="1"/>
  <c r="I33" i="1"/>
  <c r="I34" i="1"/>
  <c r="I35" i="1"/>
  <c r="I36" i="1"/>
  <c r="I37" i="1"/>
  <c r="I38" i="1"/>
  <c r="I39" i="1"/>
  <c r="I40" i="1"/>
  <c r="M40" i="1" s="1"/>
  <c r="I41" i="1"/>
  <c r="H4" i="1"/>
  <c r="H5" i="1"/>
  <c r="H6" i="1"/>
  <c r="H7" i="1"/>
  <c r="H8" i="1"/>
  <c r="H9" i="1"/>
  <c r="H10" i="1"/>
  <c r="H11" i="1"/>
  <c r="H12" i="1"/>
  <c r="H13" i="1"/>
  <c r="H14" i="1"/>
  <c r="H15" i="1"/>
  <c r="I15" i="1" s="1"/>
  <c r="M15" i="1" s="1"/>
  <c r="H16" i="1"/>
  <c r="H17" i="1"/>
  <c r="H18" i="1"/>
  <c r="I18" i="1" s="1"/>
  <c r="M18" i="1" s="1"/>
  <c r="H19" i="1"/>
  <c r="H20" i="1"/>
  <c r="H21" i="1"/>
  <c r="H22" i="1"/>
  <c r="H23" i="1"/>
  <c r="I23" i="1" s="1"/>
  <c r="M23" i="1" s="1"/>
  <c r="H24" i="1"/>
  <c r="H25" i="1"/>
  <c r="H26" i="1"/>
  <c r="H27" i="1"/>
  <c r="I27" i="1" s="1"/>
  <c r="M27" i="1" s="1"/>
  <c r="H28" i="1"/>
  <c r="H29" i="1"/>
  <c r="H30" i="1"/>
  <c r="I30" i="1" s="1"/>
  <c r="M30" i="1" s="1"/>
  <c r="H31" i="1"/>
  <c r="H32" i="1"/>
  <c r="H33" i="1"/>
  <c r="H34" i="1"/>
  <c r="H35" i="1"/>
  <c r="H36" i="1"/>
  <c r="H37" i="1"/>
  <c r="H38" i="1"/>
  <c r="H39" i="1"/>
  <c r="H40" i="1"/>
  <c r="H41" i="1"/>
  <c r="H3" i="1"/>
  <c r="I3" i="1" s="1"/>
  <c r="M3" i="1" s="1"/>
  <c r="I42" i="1" l="1"/>
</calcChain>
</file>

<file path=xl/sharedStrings.xml><?xml version="1.0" encoding="utf-8"?>
<sst xmlns="http://schemas.openxmlformats.org/spreadsheetml/2006/main" count="175" uniqueCount="88">
  <si>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</si>
  <si>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</si>
  <si>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</si>
  <si>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</si>
  <si>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</si>
  <si>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</si>
  <si>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</si>
  <si>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</si>
  <si>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</si>
  <si>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</si>
  <si>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</si>
  <si>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</si>
  <si>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</si>
  <si>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</si>
  <si>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</si>
  <si>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</si>
  <si>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</si>
  <si>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Nguyễn Trọng Cường</t>
  </si>
  <si>
    <t>1971</t>
  </si>
  <si>
    <t>Nam</t>
  </si>
  <si>
    <t/>
  </si>
  <si>
    <t>Trương Văn Cường</t>
  </si>
  <si>
    <t>1983</t>
  </si>
  <si>
    <t>Nguyễn Kim Trọng</t>
  </si>
  <si>
    <t>1972</t>
  </si>
  <si>
    <t>Nguyễn Văn Thọ</t>
  </si>
  <si>
    <t>Dương Dũng</t>
  </si>
  <si>
    <t>1968</t>
  </si>
  <si>
    <t>Phan Lê Phước Nghĩa</t>
  </si>
  <si>
    <t>1979</t>
  </si>
  <si>
    <t>Bùi Tấn Sơn</t>
  </si>
  <si>
    <t>1995</t>
  </si>
  <si>
    <t>Ông Văn Lộc</t>
  </si>
  <si>
    <t>1981</t>
  </si>
  <si>
    <t>Nguyễn Trung Hiếu</t>
  </si>
  <si>
    <t>Trương Văn Hùng</t>
  </si>
  <si>
    <t>1993</t>
  </si>
  <si>
    <t>Đỗ Viết Tấn</t>
  </si>
  <si>
    <t>1973</t>
  </si>
  <si>
    <t>Phan Trung Tiến</t>
  </si>
  <si>
    <t>Văn Quang Viên</t>
  </si>
  <si>
    <t>Ngô Tấn Trung</t>
  </si>
  <si>
    <t>01/09/1977</t>
  </si>
  <si>
    <t>Trần Văn Quân</t>
  </si>
  <si>
    <t>Phan Xuân Khánh</t>
  </si>
  <si>
    <t>Trương Công Tuấn</t>
  </si>
  <si>
    <t>24/06/1993</t>
  </si>
  <si>
    <t>Nguyễn Phan Thanh</t>
  </si>
  <si>
    <t>1987</t>
  </si>
  <si>
    <t>Phan Văn Tuấn</t>
  </si>
  <si>
    <t>1977</t>
  </si>
  <si>
    <t>Võ Tòng Vũ</t>
  </si>
  <si>
    <t>1999</t>
  </si>
  <si>
    <t>Trần Thu Hương</t>
  </si>
  <si>
    <t>1974</t>
  </si>
  <si>
    <t>Nữ</t>
  </si>
  <si>
    <t>Nguyễn Thị Thơ</t>
  </si>
  <si>
    <t>30/05/1976</t>
  </si>
  <si>
    <t>Phạm Gia Hy</t>
  </si>
  <si>
    <t>1996</t>
  </si>
  <si>
    <t>Đinh Thị Kim Tâm</t>
  </si>
  <si>
    <t>1988</t>
  </si>
  <si>
    <t>Nguyễn Thị Hoa</t>
  </si>
  <si>
    <t>1975</t>
  </si>
  <si>
    <t>Nguyễn Hạnh Thắm</t>
  </si>
  <si>
    <t>Nguyễn Thị Hằng Nga</t>
  </si>
  <si>
    <t>Phạm Thị Cẩm Lai</t>
  </si>
  <si>
    <t>06/10/1989</t>
  </si>
  <si>
    <t>Trần Thị Anh Thư</t>
  </si>
  <si>
    <t>1984</t>
  </si>
  <si>
    <t>Hồ Thị Vân</t>
  </si>
  <si>
    <t>11/02/1975</t>
  </si>
  <si>
    <t>Nguyễn Thị Thu</t>
  </si>
  <si>
    <t>Trịnh Minh Thắng</t>
  </si>
  <si>
    <t>30/08/1975</t>
  </si>
  <si>
    <t>Trần Tuấn Hảo</t>
  </si>
  <si>
    <t>1966</t>
  </si>
  <si>
    <t>Lê Trung Hiếu</t>
  </si>
  <si>
    <t>2001</t>
  </si>
  <si>
    <t>Nguyễn Pho</t>
  </si>
  <si>
    <t>Phan Văn Hùng</t>
  </si>
  <si>
    <t>Nguyễn Trung Kiên</t>
  </si>
  <si>
    <t>Ngô Hoài Phương</t>
  </si>
  <si>
    <t>1994</t>
  </si>
  <si>
    <t>Nguyễn Huy Liêm</t>
  </si>
  <si>
    <t>02/09/1985</t>
  </si>
  <si>
    <t>Ghi chú</t>
  </si>
  <si>
    <t>Cho kích ht ECG nhé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</si>
</sst>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1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ont="1" applyProtection="1"/>
    <xf numFmtId="0" fontId="1" fillId="0" borderId="4" xfId="0" applyNumberFormat="1" applyFont="1" applyBorder="1" applyAlignment="1" applyProtection="1">
      <alignment vertical="top" wrapText="1"/>
    </xf>
    <xf numFmtId="0" fontId="2" fillId="0" borderId="4" xfId="0" applyNumberFormat="1" applyFont="1" applyBorder="1" applyAlignment="1" applyProtection="1">
      <alignment vertical="top" wrapText="1"/>
    </xf>
    <xf numFmtId="0" fontId="1" fillId="0" borderId="4" xfId="0" applyNumberFormat="1" applyFont="1" applyBorder="1" applyAlignment="1" applyProtection="1">
      <alignment vertical="top"/>
    </xf>
    <xf numFmtId="3" fontId="1" fillId="0" borderId="4" xfId="0" applyNumberFormat="1" applyFont="1" applyBorder="1" applyAlignment="1" applyProtection="1">
      <alignment vertical="top"/>
    </xf>
    <xf numFmtId="3" fontId="1" fillId="0" borderId="5" xfId="0" applyNumberFormat="1" applyFont="1" applyFill="1" applyBorder="1" applyAlignment="1" applyProtection="1">
      <alignment vertical="top"/>
    </xf>
    <xf numFmtId="3" fontId="3" fillId="2" borderId="0" xfId="0" applyNumberFormat="1" applyFont="1" applyFill="1" applyProtection="1"/>
    <xf numFmtId="3" fontId="4" fillId="0" borderId="4" xfId="0" applyNumberFormat="1" applyFont="1" applyBorder="1" applyAlignment="1" applyProtection="1">
      <alignment vertical="top"/>
    </xf>
    <xf numFmtId="0" fontId="2" fillId="0" borderId="2" xfId="0" applyNumberFormat="1" applyFont="1" applyBorder="1" applyAlignment="1" applyProtection="1">
      <alignment vertical="top" wrapText="1"/>
    </xf>
    <xf numFmtId="0" fontId="2" fillId="0" borderId="1" xfId="0" applyNumberFormat="1" applyFont="1" applyBorder="1" applyProtection="1"/>
    <xf numFmtId="0" fontId="2" fillId="0" borderId="3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topLeftCell="A31" workbookViewId="0">
      <selection activeCell="J54" sqref="J54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0" customWidth="1"/>
    <col min="7" max="7" width="11.5703125" customWidth="1"/>
    <col min="8" max="8" width="11.140625" customWidth="1"/>
    <col min="9" max="9" width="11.85546875" customWidth="1"/>
    <col min="10" max="14" width="10" customWidth="1"/>
  </cols>
  <sheetData>
    <row r="1" spans="1:14">
      <c r="A1" s="8" t="s">
        <v>0</v>
      </c>
      <c r="B1" s="9"/>
      <c r="C1" s="9"/>
      <c r="D1" s="9"/>
      <c r="E1" s="9"/>
      <c r="F1" s="8" t="s">
        <v>1</v>
      </c>
      <c r="G1" s="9"/>
      <c r="H1" s="10"/>
      <c r="I1" s="8" t="s">
        <v>2</v>
      </c>
      <c r="J1" s="10"/>
      <c r="K1" s="8" t="s">
        <v>3</v>
      </c>
      <c r="L1" s="9"/>
      <c r="M1" s="10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86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3" t="s">
        <v>20</v>
      </c>
      <c r="F3" s="4">
        <v>1023000</v>
      </c>
      <c r="G3" s="4">
        <v>871200</v>
      </c>
      <c r="H3" s="4">
        <f>F3+G3</f>
        <v>1894200</v>
      </c>
      <c r="I3" s="4">
        <f>H3-J3-K3</f>
        <v>1023000</v>
      </c>
      <c r="J3" s="4"/>
      <c r="K3" s="4">
        <v>871200</v>
      </c>
      <c r="L3" s="4"/>
      <c r="M3" s="4">
        <f>I3+K3</f>
        <v>1894200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3" t="s">
        <v>20</v>
      </c>
      <c r="F4" s="4">
        <v>1023000</v>
      </c>
      <c r="G4" s="4"/>
      <c r="H4" s="4">
        <f t="shared" ref="H4:H41" si="0">F4+G4</f>
        <v>1023000</v>
      </c>
      <c r="I4" s="4">
        <f t="shared" ref="I4:I41" si="1">H4-J4-K4</f>
        <v>1023000</v>
      </c>
      <c r="J4" s="4"/>
      <c r="K4" s="4"/>
      <c r="L4" s="4"/>
      <c r="M4" s="4">
        <f t="shared" ref="M4:M41" si="2">I4+K4</f>
        <v>1023000</v>
      </c>
      <c r="N4" s="4"/>
    </row>
    <row r="5" spans="1:14">
      <c r="A5" s="3">
        <v>3</v>
      </c>
      <c r="B5" s="1" t="s">
        <v>23</v>
      </c>
      <c r="C5" s="1" t="s">
        <v>24</v>
      </c>
      <c r="D5" s="1" t="s">
        <v>19</v>
      </c>
      <c r="E5" s="3" t="s">
        <v>20</v>
      </c>
      <c r="F5" s="4">
        <v>1023000</v>
      </c>
      <c r="G5" s="4"/>
      <c r="H5" s="4">
        <f t="shared" si="0"/>
        <v>1023000</v>
      </c>
      <c r="I5" s="4">
        <f t="shared" si="1"/>
        <v>1023000</v>
      </c>
      <c r="J5" s="4"/>
      <c r="K5" s="4"/>
      <c r="L5" s="4"/>
      <c r="M5" s="4">
        <f t="shared" si="2"/>
        <v>1023000</v>
      </c>
      <c r="N5" s="4"/>
    </row>
    <row r="6" spans="1:14">
      <c r="A6" s="3">
        <v>4</v>
      </c>
      <c r="B6" s="1" t="s">
        <v>25</v>
      </c>
      <c r="C6" s="1" t="s">
        <v>24</v>
      </c>
      <c r="D6" s="1" t="s">
        <v>19</v>
      </c>
      <c r="E6" s="3" t="s">
        <v>20</v>
      </c>
      <c r="F6" s="4">
        <v>1439000</v>
      </c>
      <c r="G6" s="4"/>
      <c r="H6" s="4">
        <f t="shared" si="0"/>
        <v>1439000</v>
      </c>
      <c r="I6" s="4">
        <f t="shared" si="1"/>
        <v>1439000</v>
      </c>
      <c r="J6" s="4"/>
      <c r="K6" s="4"/>
      <c r="L6" s="4"/>
      <c r="M6" s="4">
        <f t="shared" si="2"/>
        <v>1439000</v>
      </c>
      <c r="N6" s="4"/>
    </row>
    <row r="7" spans="1:14">
      <c r="A7" s="3">
        <v>5</v>
      </c>
      <c r="B7" s="1" t="s">
        <v>26</v>
      </c>
      <c r="C7" s="1" t="s">
        <v>27</v>
      </c>
      <c r="D7" s="1" t="s">
        <v>19</v>
      </c>
      <c r="E7" s="3" t="s">
        <v>20</v>
      </c>
      <c r="F7" s="4">
        <v>1023000</v>
      </c>
      <c r="G7" s="4"/>
      <c r="H7" s="4">
        <f t="shared" si="0"/>
        <v>1023000</v>
      </c>
      <c r="I7" s="4">
        <f t="shared" si="1"/>
        <v>1023000</v>
      </c>
      <c r="J7" s="4"/>
      <c r="K7" s="4"/>
      <c r="L7" s="4"/>
      <c r="M7" s="4">
        <f t="shared" si="2"/>
        <v>1023000</v>
      </c>
      <c r="N7" s="4"/>
    </row>
    <row r="8" spans="1:14">
      <c r="A8" s="3">
        <v>6</v>
      </c>
      <c r="B8" s="1" t="s">
        <v>28</v>
      </c>
      <c r="C8" s="1" t="s">
        <v>29</v>
      </c>
      <c r="D8" s="1" t="s">
        <v>19</v>
      </c>
      <c r="E8" s="3" t="s">
        <v>20</v>
      </c>
      <c r="F8" s="4">
        <v>1023000</v>
      </c>
      <c r="G8" s="4"/>
      <c r="H8" s="4">
        <f t="shared" si="0"/>
        <v>1023000</v>
      </c>
      <c r="I8" s="4">
        <f t="shared" si="1"/>
        <v>1023000</v>
      </c>
      <c r="J8" s="4"/>
      <c r="K8" s="4"/>
      <c r="L8" s="4"/>
      <c r="M8" s="4">
        <f t="shared" si="2"/>
        <v>1023000</v>
      </c>
      <c r="N8" s="4"/>
    </row>
    <row r="9" spans="1:14">
      <c r="A9" s="3">
        <v>7</v>
      </c>
      <c r="B9" s="1" t="s">
        <v>30</v>
      </c>
      <c r="C9" s="1" t="s">
        <v>31</v>
      </c>
      <c r="D9" s="1" t="s">
        <v>19</v>
      </c>
      <c r="E9" s="3" t="s">
        <v>20</v>
      </c>
      <c r="F9" s="4">
        <v>1023000</v>
      </c>
      <c r="G9" s="4"/>
      <c r="H9" s="4">
        <f t="shared" si="0"/>
        <v>1023000</v>
      </c>
      <c r="I9" s="4">
        <f t="shared" si="1"/>
        <v>1023000</v>
      </c>
      <c r="J9" s="4"/>
      <c r="K9" s="4"/>
      <c r="L9" s="4"/>
      <c r="M9" s="4">
        <f t="shared" si="2"/>
        <v>1023000</v>
      </c>
      <c r="N9" s="4"/>
    </row>
    <row r="10" spans="1:14">
      <c r="A10" s="3">
        <v>8</v>
      </c>
      <c r="B10" s="1" t="s">
        <v>32</v>
      </c>
      <c r="C10" s="1" t="s">
        <v>33</v>
      </c>
      <c r="D10" s="1" t="s">
        <v>19</v>
      </c>
      <c r="E10" s="3" t="s">
        <v>20</v>
      </c>
      <c r="F10" s="4">
        <v>1023000</v>
      </c>
      <c r="G10" s="4"/>
      <c r="H10" s="4">
        <f t="shared" si="0"/>
        <v>1023000</v>
      </c>
      <c r="I10" s="4">
        <f t="shared" si="1"/>
        <v>1023000</v>
      </c>
      <c r="J10" s="4"/>
      <c r="K10" s="4"/>
      <c r="L10" s="4"/>
      <c r="M10" s="4">
        <f t="shared" si="2"/>
        <v>1023000</v>
      </c>
      <c r="N10" s="4"/>
    </row>
    <row r="11" spans="1:14">
      <c r="A11" s="3">
        <v>9</v>
      </c>
      <c r="B11" s="1" t="s">
        <v>34</v>
      </c>
      <c r="C11" s="1" t="s">
        <v>22</v>
      </c>
      <c r="D11" s="1" t="s">
        <v>19</v>
      </c>
      <c r="E11" s="3" t="s">
        <v>20</v>
      </c>
      <c r="F11" s="4">
        <v>1023000</v>
      </c>
      <c r="G11" s="4"/>
      <c r="H11" s="4">
        <f t="shared" si="0"/>
        <v>1023000</v>
      </c>
      <c r="I11" s="4">
        <f t="shared" si="1"/>
        <v>1023000</v>
      </c>
      <c r="J11" s="4"/>
      <c r="K11" s="4"/>
      <c r="L11" s="4"/>
      <c r="M11" s="4">
        <f t="shared" si="2"/>
        <v>1023000</v>
      </c>
      <c r="N11" s="4"/>
    </row>
    <row r="12" spans="1:14">
      <c r="A12" s="3">
        <v>10</v>
      </c>
      <c r="B12" s="1" t="s">
        <v>35</v>
      </c>
      <c r="C12" s="1" t="s">
        <v>36</v>
      </c>
      <c r="D12" s="1" t="s">
        <v>19</v>
      </c>
      <c r="E12" s="3" t="s">
        <v>20</v>
      </c>
      <c r="F12" s="4">
        <v>1023000</v>
      </c>
      <c r="G12" s="4"/>
      <c r="H12" s="4">
        <f t="shared" si="0"/>
        <v>1023000</v>
      </c>
      <c r="I12" s="4">
        <f t="shared" si="1"/>
        <v>1023000</v>
      </c>
      <c r="J12" s="4"/>
      <c r="K12" s="4"/>
      <c r="L12" s="4"/>
      <c r="M12" s="4">
        <f t="shared" si="2"/>
        <v>1023000</v>
      </c>
      <c r="N12" s="4"/>
    </row>
    <row r="13" spans="1:14">
      <c r="A13" s="3">
        <v>11</v>
      </c>
      <c r="B13" s="1" t="s">
        <v>37</v>
      </c>
      <c r="C13" s="1" t="s">
        <v>38</v>
      </c>
      <c r="D13" s="1" t="s">
        <v>19</v>
      </c>
      <c r="E13" s="3" t="s">
        <v>20</v>
      </c>
      <c r="F13" s="4">
        <v>921000</v>
      </c>
      <c r="G13" s="4"/>
      <c r="H13" s="4">
        <f t="shared" si="0"/>
        <v>921000</v>
      </c>
      <c r="I13" s="4">
        <f t="shared" si="1"/>
        <v>921000</v>
      </c>
      <c r="J13" s="4"/>
      <c r="K13" s="4"/>
      <c r="L13" s="4"/>
      <c r="M13" s="4">
        <f t="shared" si="2"/>
        <v>921000</v>
      </c>
      <c r="N13" s="4"/>
    </row>
    <row r="14" spans="1:14">
      <c r="A14" s="3">
        <v>12</v>
      </c>
      <c r="B14" s="1" t="s">
        <v>39</v>
      </c>
      <c r="C14" s="1" t="s">
        <v>38</v>
      </c>
      <c r="D14" s="1" t="s">
        <v>19</v>
      </c>
      <c r="E14" s="3" t="s">
        <v>20</v>
      </c>
      <c r="F14" s="4">
        <v>1023000</v>
      </c>
      <c r="G14" s="4"/>
      <c r="H14" s="4">
        <f t="shared" si="0"/>
        <v>1023000</v>
      </c>
      <c r="I14" s="4">
        <f t="shared" si="1"/>
        <v>1023000</v>
      </c>
      <c r="J14" s="4"/>
      <c r="K14" s="4"/>
      <c r="L14" s="4"/>
      <c r="M14" s="4">
        <f t="shared" si="2"/>
        <v>1023000</v>
      </c>
      <c r="N14" s="4"/>
    </row>
    <row r="15" spans="1:14">
      <c r="A15" s="3">
        <v>13</v>
      </c>
      <c r="B15" s="1" t="s">
        <v>40</v>
      </c>
      <c r="C15" s="1" t="s">
        <v>29</v>
      </c>
      <c r="D15" s="1" t="s">
        <v>19</v>
      </c>
      <c r="E15" s="3" t="s">
        <v>20</v>
      </c>
      <c r="F15" s="4">
        <v>1023000</v>
      </c>
      <c r="G15" s="4">
        <v>225000</v>
      </c>
      <c r="H15" s="4">
        <f t="shared" si="0"/>
        <v>1248000</v>
      </c>
      <c r="I15" s="4">
        <f t="shared" si="1"/>
        <v>1023000</v>
      </c>
      <c r="J15" s="4"/>
      <c r="K15" s="4">
        <v>225000</v>
      </c>
      <c r="L15" s="4"/>
      <c r="M15" s="4">
        <f t="shared" si="2"/>
        <v>1248000</v>
      </c>
      <c r="N15" s="4"/>
    </row>
    <row r="16" spans="1:14" ht="30">
      <c r="A16" s="3">
        <v>14</v>
      </c>
      <c r="B16" s="1" t="s">
        <v>41</v>
      </c>
      <c r="C16" s="1" t="s">
        <v>42</v>
      </c>
      <c r="D16" s="1" t="s">
        <v>19</v>
      </c>
      <c r="E16" s="3" t="s">
        <v>20</v>
      </c>
      <c r="F16" s="4">
        <v>1023000</v>
      </c>
      <c r="G16" s="4"/>
      <c r="H16" s="4">
        <f t="shared" si="0"/>
        <v>1023000</v>
      </c>
      <c r="I16" s="4">
        <f t="shared" si="1"/>
        <v>1023000</v>
      </c>
      <c r="J16" s="4"/>
      <c r="K16" s="4"/>
      <c r="L16" s="4"/>
      <c r="M16" s="4">
        <f t="shared" si="2"/>
        <v>1023000</v>
      </c>
      <c r="N16" s="4"/>
    </row>
    <row r="17" spans="1:14">
      <c r="A17" s="3">
        <v>15</v>
      </c>
      <c r="B17" s="1" t="s">
        <v>43</v>
      </c>
      <c r="C17" s="1" t="s">
        <v>18</v>
      </c>
      <c r="D17" s="1" t="s">
        <v>19</v>
      </c>
      <c r="E17" s="3" t="s">
        <v>20</v>
      </c>
      <c r="F17" s="4">
        <v>1023000</v>
      </c>
      <c r="G17" s="4"/>
      <c r="H17" s="4">
        <f t="shared" si="0"/>
        <v>1023000</v>
      </c>
      <c r="I17" s="4">
        <f t="shared" si="1"/>
        <v>1023000</v>
      </c>
      <c r="J17" s="4"/>
      <c r="K17" s="4"/>
      <c r="L17" s="4"/>
      <c r="M17" s="4">
        <f t="shared" si="2"/>
        <v>1023000</v>
      </c>
      <c r="N17" s="4"/>
    </row>
    <row r="18" spans="1:14">
      <c r="A18" s="3">
        <v>16</v>
      </c>
      <c r="B18" s="1" t="s">
        <v>44</v>
      </c>
      <c r="C18" s="1" t="s">
        <v>27</v>
      </c>
      <c r="D18" s="1" t="s">
        <v>19</v>
      </c>
      <c r="E18" s="3" t="s">
        <v>20</v>
      </c>
      <c r="F18" s="4">
        <v>1439000</v>
      </c>
      <c r="G18" s="4">
        <v>198000</v>
      </c>
      <c r="H18" s="4">
        <f t="shared" si="0"/>
        <v>1637000</v>
      </c>
      <c r="I18" s="4">
        <f t="shared" si="1"/>
        <v>1439000</v>
      </c>
      <c r="J18" s="4"/>
      <c r="K18" s="4">
        <v>198000</v>
      </c>
      <c r="L18" s="4"/>
      <c r="M18" s="4">
        <f t="shared" si="2"/>
        <v>1637000</v>
      </c>
      <c r="N18" s="4"/>
    </row>
    <row r="19" spans="1:14" ht="30">
      <c r="A19" s="3">
        <v>17</v>
      </c>
      <c r="B19" s="1" t="s">
        <v>45</v>
      </c>
      <c r="C19" s="1" t="s">
        <v>46</v>
      </c>
      <c r="D19" s="1" t="s">
        <v>19</v>
      </c>
      <c r="E19" s="3" t="s">
        <v>20</v>
      </c>
      <c r="F19" s="4">
        <v>1439000</v>
      </c>
      <c r="G19" s="4"/>
      <c r="H19" s="4">
        <f t="shared" si="0"/>
        <v>1439000</v>
      </c>
      <c r="I19" s="4">
        <f t="shared" si="1"/>
        <v>1439000</v>
      </c>
      <c r="J19" s="4"/>
      <c r="K19" s="4"/>
      <c r="L19" s="4"/>
      <c r="M19" s="4">
        <f t="shared" si="2"/>
        <v>1439000</v>
      </c>
      <c r="N19" s="4"/>
    </row>
    <row r="20" spans="1:14">
      <c r="A20" s="3">
        <v>18</v>
      </c>
      <c r="B20" s="1" t="s">
        <v>47</v>
      </c>
      <c r="C20" s="1" t="s">
        <v>48</v>
      </c>
      <c r="D20" s="1" t="s">
        <v>19</v>
      </c>
      <c r="E20" s="3" t="s">
        <v>20</v>
      </c>
      <c r="F20" s="4">
        <v>1023000</v>
      </c>
      <c r="G20" s="4"/>
      <c r="H20" s="4">
        <f t="shared" si="0"/>
        <v>1023000</v>
      </c>
      <c r="I20" s="4">
        <f t="shared" si="1"/>
        <v>1023000</v>
      </c>
      <c r="J20" s="4"/>
      <c r="K20" s="4"/>
      <c r="L20" s="4"/>
      <c r="M20" s="4">
        <f t="shared" si="2"/>
        <v>1023000</v>
      </c>
      <c r="N20" s="4"/>
    </row>
    <row r="21" spans="1:14">
      <c r="A21" s="3">
        <v>19</v>
      </c>
      <c r="B21" s="1" t="s">
        <v>49</v>
      </c>
      <c r="C21" s="1" t="s">
        <v>50</v>
      </c>
      <c r="D21" s="1" t="s">
        <v>19</v>
      </c>
      <c r="E21" s="3" t="s">
        <v>20</v>
      </c>
      <c r="F21" s="4">
        <v>1023000</v>
      </c>
      <c r="G21" s="4"/>
      <c r="H21" s="4">
        <f t="shared" si="0"/>
        <v>1023000</v>
      </c>
      <c r="I21" s="4">
        <f t="shared" si="1"/>
        <v>1023000</v>
      </c>
      <c r="J21" s="4"/>
      <c r="K21" s="4"/>
      <c r="L21" s="4"/>
      <c r="M21" s="4">
        <f t="shared" si="2"/>
        <v>1023000</v>
      </c>
      <c r="N21" s="4"/>
    </row>
    <row r="22" spans="1:14">
      <c r="A22" s="3">
        <v>20</v>
      </c>
      <c r="B22" s="1" t="s">
        <v>51</v>
      </c>
      <c r="C22" s="1" t="s">
        <v>52</v>
      </c>
      <c r="D22" s="1" t="s">
        <v>19</v>
      </c>
      <c r="E22" s="3" t="s">
        <v>20</v>
      </c>
      <c r="F22" s="4">
        <v>1023000</v>
      </c>
      <c r="G22" s="4"/>
      <c r="H22" s="4">
        <f t="shared" si="0"/>
        <v>1023000</v>
      </c>
      <c r="I22" s="4">
        <f t="shared" si="1"/>
        <v>1023000</v>
      </c>
      <c r="J22" s="4"/>
      <c r="K22" s="4"/>
      <c r="L22" s="4"/>
      <c r="M22" s="4">
        <f t="shared" si="2"/>
        <v>1023000</v>
      </c>
      <c r="N22" s="4"/>
    </row>
    <row r="23" spans="1:14">
      <c r="A23" s="3">
        <v>21</v>
      </c>
      <c r="B23" s="1" t="s">
        <v>53</v>
      </c>
      <c r="C23" s="1" t="s">
        <v>54</v>
      </c>
      <c r="D23" s="1" t="s">
        <v>55</v>
      </c>
      <c r="E23" s="3" t="s">
        <v>20</v>
      </c>
      <c r="F23" s="4">
        <v>1023000</v>
      </c>
      <c r="G23" s="4">
        <v>45000</v>
      </c>
      <c r="H23" s="4">
        <f t="shared" si="0"/>
        <v>1068000</v>
      </c>
      <c r="I23" s="4">
        <f t="shared" si="1"/>
        <v>1023000</v>
      </c>
      <c r="J23" s="4"/>
      <c r="K23" s="4">
        <v>45000</v>
      </c>
      <c r="L23" s="4"/>
      <c r="M23" s="4">
        <f t="shared" si="2"/>
        <v>1068000</v>
      </c>
      <c r="N23" s="4"/>
    </row>
    <row r="24" spans="1:14" ht="30">
      <c r="A24" s="3">
        <v>22</v>
      </c>
      <c r="B24" s="1" t="s">
        <v>56</v>
      </c>
      <c r="C24" s="1" t="s">
        <v>57</v>
      </c>
      <c r="D24" s="1" t="s">
        <v>55</v>
      </c>
      <c r="E24" s="3" t="s">
        <v>20</v>
      </c>
      <c r="F24" s="4">
        <v>1023000</v>
      </c>
      <c r="G24" s="4"/>
      <c r="H24" s="4">
        <f t="shared" si="0"/>
        <v>1023000</v>
      </c>
      <c r="I24" s="4">
        <f t="shared" si="1"/>
        <v>1023000</v>
      </c>
      <c r="J24" s="4"/>
      <c r="K24" s="4"/>
      <c r="L24" s="4"/>
      <c r="M24" s="4">
        <f t="shared" si="2"/>
        <v>1023000</v>
      </c>
      <c r="N24" s="4"/>
    </row>
    <row r="25" spans="1:14">
      <c r="A25" s="3">
        <v>23</v>
      </c>
      <c r="B25" s="1" t="s">
        <v>58</v>
      </c>
      <c r="C25" s="1" t="s">
        <v>59</v>
      </c>
      <c r="D25" s="1" t="s">
        <v>55</v>
      </c>
      <c r="E25" s="3" t="s">
        <v>20</v>
      </c>
      <c r="F25" s="4">
        <v>1023000</v>
      </c>
      <c r="G25" s="4"/>
      <c r="H25" s="4">
        <f t="shared" si="0"/>
        <v>1023000</v>
      </c>
      <c r="I25" s="4">
        <f t="shared" si="1"/>
        <v>1023000</v>
      </c>
      <c r="J25" s="4"/>
      <c r="K25" s="4"/>
      <c r="L25" s="4"/>
      <c r="M25" s="4">
        <f t="shared" si="2"/>
        <v>1023000</v>
      </c>
      <c r="N25" s="4"/>
    </row>
    <row r="26" spans="1:14">
      <c r="A26" s="3">
        <v>24</v>
      </c>
      <c r="B26" s="1" t="s">
        <v>60</v>
      </c>
      <c r="C26" s="1" t="s">
        <v>61</v>
      </c>
      <c r="D26" s="1" t="s">
        <v>55</v>
      </c>
      <c r="E26" s="3" t="s">
        <v>20</v>
      </c>
      <c r="F26" s="4">
        <v>1023000</v>
      </c>
      <c r="G26" s="4"/>
      <c r="H26" s="4">
        <f t="shared" si="0"/>
        <v>1023000</v>
      </c>
      <c r="I26" s="4">
        <f t="shared" si="1"/>
        <v>1023000</v>
      </c>
      <c r="J26" s="4"/>
      <c r="K26" s="4"/>
      <c r="L26" s="4"/>
      <c r="M26" s="4">
        <f t="shared" si="2"/>
        <v>1023000</v>
      </c>
      <c r="N26" s="4"/>
    </row>
    <row r="27" spans="1:14">
      <c r="A27" s="3">
        <v>25</v>
      </c>
      <c r="B27" s="1" t="s">
        <v>62</v>
      </c>
      <c r="C27" s="1" t="s">
        <v>63</v>
      </c>
      <c r="D27" s="1" t="s">
        <v>55</v>
      </c>
      <c r="E27" s="3" t="s">
        <v>20</v>
      </c>
      <c r="F27" s="4">
        <v>1023000</v>
      </c>
      <c r="G27" s="4">
        <v>64800</v>
      </c>
      <c r="H27" s="4">
        <f t="shared" si="0"/>
        <v>1087800</v>
      </c>
      <c r="I27" s="4">
        <f t="shared" si="1"/>
        <v>1023000</v>
      </c>
      <c r="J27" s="4"/>
      <c r="K27" s="4">
        <v>64800</v>
      </c>
      <c r="L27" s="4"/>
      <c r="M27" s="4">
        <f t="shared" si="2"/>
        <v>1087800</v>
      </c>
      <c r="N27" s="4"/>
    </row>
    <row r="28" spans="1:14">
      <c r="A28" s="3">
        <v>26</v>
      </c>
      <c r="B28" s="1" t="s">
        <v>64</v>
      </c>
      <c r="C28" s="1" t="s">
        <v>48</v>
      </c>
      <c r="D28" s="1" t="s">
        <v>55</v>
      </c>
      <c r="E28" s="3" t="s">
        <v>20</v>
      </c>
      <c r="F28" s="4">
        <v>1023000</v>
      </c>
      <c r="G28" s="4"/>
      <c r="H28" s="4">
        <f t="shared" si="0"/>
        <v>1023000</v>
      </c>
      <c r="I28" s="4">
        <f t="shared" si="1"/>
        <v>1023000</v>
      </c>
      <c r="J28" s="4"/>
      <c r="K28" s="4"/>
      <c r="L28" s="4"/>
      <c r="M28" s="4">
        <f t="shared" si="2"/>
        <v>1023000</v>
      </c>
      <c r="N28" s="4"/>
    </row>
    <row r="29" spans="1:14">
      <c r="A29" s="3">
        <v>27</v>
      </c>
      <c r="B29" s="1" t="s">
        <v>65</v>
      </c>
      <c r="C29" s="1" t="s">
        <v>61</v>
      </c>
      <c r="D29" s="1" t="s">
        <v>55</v>
      </c>
      <c r="E29" s="3" t="s">
        <v>20</v>
      </c>
      <c r="F29" s="4">
        <v>1023000</v>
      </c>
      <c r="G29" s="4"/>
      <c r="H29" s="4">
        <f t="shared" si="0"/>
        <v>1023000</v>
      </c>
      <c r="I29" s="4">
        <f t="shared" si="1"/>
        <v>1023000</v>
      </c>
      <c r="J29" s="4"/>
      <c r="K29" s="4"/>
      <c r="L29" s="4"/>
      <c r="M29" s="4">
        <f t="shared" si="2"/>
        <v>1023000</v>
      </c>
      <c r="N29" s="4"/>
    </row>
    <row r="30" spans="1:14" ht="30">
      <c r="A30" s="3">
        <v>28</v>
      </c>
      <c r="B30" s="1" t="s">
        <v>66</v>
      </c>
      <c r="C30" s="1" t="s">
        <v>67</v>
      </c>
      <c r="D30" s="1" t="s">
        <v>55</v>
      </c>
      <c r="E30" s="3" t="s">
        <v>20</v>
      </c>
      <c r="F30" s="4">
        <v>1023000</v>
      </c>
      <c r="G30" s="4">
        <v>422100</v>
      </c>
      <c r="H30" s="4">
        <f t="shared" si="0"/>
        <v>1445100</v>
      </c>
      <c r="I30" s="4">
        <f t="shared" si="1"/>
        <v>1023000</v>
      </c>
      <c r="J30" s="4"/>
      <c r="K30" s="4">
        <v>422100</v>
      </c>
      <c r="L30" s="4"/>
      <c r="M30" s="4">
        <f t="shared" si="2"/>
        <v>1445100</v>
      </c>
      <c r="N30" s="4"/>
    </row>
    <row r="31" spans="1:14">
      <c r="A31" s="3">
        <v>29</v>
      </c>
      <c r="B31" s="1" t="s">
        <v>68</v>
      </c>
      <c r="C31" s="1" t="s">
        <v>69</v>
      </c>
      <c r="D31" s="1" t="s">
        <v>55</v>
      </c>
      <c r="E31" s="3" t="s">
        <v>20</v>
      </c>
      <c r="F31" s="4">
        <v>921000</v>
      </c>
      <c r="G31" s="4"/>
      <c r="H31" s="4">
        <f t="shared" si="0"/>
        <v>921000</v>
      </c>
      <c r="I31" s="4">
        <f t="shared" si="1"/>
        <v>921000</v>
      </c>
      <c r="J31" s="4"/>
      <c r="K31" s="4"/>
      <c r="L31" s="4"/>
      <c r="M31" s="4">
        <f t="shared" si="2"/>
        <v>921000</v>
      </c>
      <c r="N31" s="4"/>
    </row>
    <row r="32" spans="1:14" ht="30">
      <c r="A32" s="3">
        <v>30</v>
      </c>
      <c r="B32" s="1" t="s">
        <v>70</v>
      </c>
      <c r="C32" s="1" t="s">
        <v>71</v>
      </c>
      <c r="D32" s="1" t="s">
        <v>55</v>
      </c>
      <c r="E32" s="3" t="s">
        <v>20</v>
      </c>
      <c r="F32" s="4">
        <v>1023000</v>
      </c>
      <c r="G32" s="4"/>
      <c r="H32" s="4">
        <f t="shared" si="0"/>
        <v>1023000</v>
      </c>
      <c r="I32" s="4">
        <f t="shared" si="1"/>
        <v>1023000</v>
      </c>
      <c r="J32" s="4"/>
      <c r="K32" s="4"/>
      <c r="L32" s="4"/>
      <c r="M32" s="4">
        <f t="shared" si="2"/>
        <v>1023000</v>
      </c>
      <c r="N32" s="4"/>
    </row>
    <row r="33" spans="1:14">
      <c r="A33" s="3">
        <v>31</v>
      </c>
      <c r="B33" s="1" t="s">
        <v>72</v>
      </c>
      <c r="C33" s="1" t="s">
        <v>54</v>
      </c>
      <c r="D33" s="1" t="s">
        <v>55</v>
      </c>
      <c r="E33" s="3" t="s">
        <v>20</v>
      </c>
      <c r="F33" s="4">
        <v>1023000</v>
      </c>
      <c r="G33" s="4"/>
      <c r="H33" s="4">
        <f t="shared" si="0"/>
        <v>1023000</v>
      </c>
      <c r="I33" s="4">
        <f t="shared" si="1"/>
        <v>1023000</v>
      </c>
      <c r="J33" s="4"/>
      <c r="K33" s="4"/>
      <c r="L33" s="4"/>
      <c r="M33" s="4">
        <f t="shared" si="2"/>
        <v>1023000</v>
      </c>
      <c r="N33" s="4"/>
    </row>
    <row r="34" spans="1:14" ht="30">
      <c r="A34" s="3">
        <v>32</v>
      </c>
      <c r="B34" s="1" t="s">
        <v>73</v>
      </c>
      <c r="C34" s="1" t="s">
        <v>74</v>
      </c>
      <c r="D34" s="1" t="s">
        <v>19</v>
      </c>
      <c r="E34" s="3" t="s">
        <v>20</v>
      </c>
      <c r="F34" s="4">
        <v>1023000</v>
      </c>
      <c r="G34" s="4"/>
      <c r="H34" s="4">
        <f t="shared" si="0"/>
        <v>1023000</v>
      </c>
      <c r="I34" s="4">
        <f t="shared" si="1"/>
        <v>1023000</v>
      </c>
      <c r="J34" s="4"/>
      <c r="K34" s="4"/>
      <c r="L34" s="4"/>
      <c r="M34" s="4">
        <f t="shared" si="2"/>
        <v>1023000</v>
      </c>
      <c r="N34" s="4"/>
    </row>
    <row r="35" spans="1:14">
      <c r="A35" s="3">
        <v>33</v>
      </c>
      <c r="B35" s="1" t="s">
        <v>75</v>
      </c>
      <c r="C35" s="1" t="s">
        <v>76</v>
      </c>
      <c r="D35" s="1" t="s">
        <v>19</v>
      </c>
      <c r="E35" s="3" t="s">
        <v>20</v>
      </c>
      <c r="F35" s="4">
        <v>1023000</v>
      </c>
      <c r="G35" s="4"/>
      <c r="H35" s="4">
        <f t="shared" si="0"/>
        <v>1023000</v>
      </c>
      <c r="I35" s="4">
        <f t="shared" si="1"/>
        <v>1023000</v>
      </c>
      <c r="J35" s="4"/>
      <c r="K35" s="4"/>
      <c r="L35" s="4"/>
      <c r="M35" s="4">
        <f t="shared" si="2"/>
        <v>1023000</v>
      </c>
      <c r="N35" s="4"/>
    </row>
    <row r="36" spans="1:14">
      <c r="A36" s="3">
        <v>34</v>
      </c>
      <c r="B36" s="1" t="s">
        <v>77</v>
      </c>
      <c r="C36" s="1" t="s">
        <v>78</v>
      </c>
      <c r="D36" s="1" t="s">
        <v>19</v>
      </c>
      <c r="E36" s="3" t="s">
        <v>20</v>
      </c>
      <c r="F36" s="4">
        <v>1023000</v>
      </c>
      <c r="G36" s="4"/>
      <c r="H36" s="4">
        <f t="shared" si="0"/>
        <v>1023000</v>
      </c>
      <c r="I36" s="4">
        <f t="shared" si="1"/>
        <v>1023000</v>
      </c>
      <c r="J36" s="4"/>
      <c r="K36" s="4"/>
      <c r="L36" s="4"/>
      <c r="M36" s="4">
        <f t="shared" si="2"/>
        <v>1023000</v>
      </c>
      <c r="N36" s="4"/>
    </row>
    <row r="37" spans="1:14">
      <c r="A37" s="3">
        <v>35</v>
      </c>
      <c r="B37" s="1" t="s">
        <v>79</v>
      </c>
      <c r="C37" s="1" t="s">
        <v>50</v>
      </c>
      <c r="D37" s="1" t="s">
        <v>19</v>
      </c>
      <c r="E37" s="3" t="s">
        <v>20</v>
      </c>
      <c r="F37" s="4">
        <v>1023000</v>
      </c>
      <c r="G37" s="4"/>
      <c r="H37" s="4">
        <f t="shared" si="0"/>
        <v>1023000</v>
      </c>
      <c r="I37" s="4">
        <f t="shared" si="1"/>
        <v>1023000</v>
      </c>
      <c r="J37" s="4"/>
      <c r="K37" s="4"/>
      <c r="L37" s="4"/>
      <c r="M37" s="4">
        <f t="shared" si="2"/>
        <v>1023000</v>
      </c>
      <c r="N37" s="4"/>
    </row>
    <row r="38" spans="1:14">
      <c r="A38" s="3">
        <v>36</v>
      </c>
      <c r="B38" s="1" t="s">
        <v>80</v>
      </c>
      <c r="C38" s="1" t="s">
        <v>24</v>
      </c>
      <c r="D38" s="1" t="s">
        <v>19</v>
      </c>
      <c r="E38" s="3" t="s">
        <v>20</v>
      </c>
      <c r="F38" s="4">
        <v>1023000</v>
      </c>
      <c r="G38" s="4"/>
      <c r="H38" s="4">
        <f t="shared" si="0"/>
        <v>1023000</v>
      </c>
      <c r="I38" s="4">
        <f t="shared" si="1"/>
        <v>1023000</v>
      </c>
      <c r="J38" s="4"/>
      <c r="K38" s="4"/>
      <c r="L38" s="4"/>
      <c r="M38" s="4">
        <f t="shared" si="2"/>
        <v>1023000</v>
      </c>
      <c r="N38" s="4"/>
    </row>
    <row r="39" spans="1:14">
      <c r="A39" s="3">
        <v>37</v>
      </c>
      <c r="B39" s="1" t="s">
        <v>81</v>
      </c>
      <c r="C39" s="1" t="s">
        <v>78</v>
      </c>
      <c r="D39" s="1" t="s">
        <v>19</v>
      </c>
      <c r="E39" s="3" t="s">
        <v>20</v>
      </c>
      <c r="F39" s="4">
        <v>1023000</v>
      </c>
      <c r="G39" s="4"/>
      <c r="H39" s="4">
        <f t="shared" si="0"/>
        <v>1023000</v>
      </c>
      <c r="I39" s="4">
        <f t="shared" si="1"/>
        <v>1023000</v>
      </c>
      <c r="J39" s="4"/>
      <c r="K39" s="4"/>
      <c r="L39" s="4"/>
      <c r="M39" s="4">
        <f t="shared" si="2"/>
        <v>1023000</v>
      </c>
      <c r="N39" s="4"/>
    </row>
    <row r="40" spans="1:14">
      <c r="A40" s="3">
        <v>38</v>
      </c>
      <c r="B40" s="1" t="s">
        <v>82</v>
      </c>
      <c r="C40" s="1" t="s">
        <v>83</v>
      </c>
      <c r="D40" s="1" t="s">
        <v>19</v>
      </c>
      <c r="E40" s="3" t="s">
        <v>20</v>
      </c>
      <c r="F40" s="4">
        <v>1023000</v>
      </c>
      <c r="G40" s="4"/>
      <c r="H40" s="4">
        <f t="shared" si="0"/>
        <v>1023000</v>
      </c>
      <c r="I40" s="4">
        <f t="shared" si="1"/>
        <v>1023000</v>
      </c>
      <c r="J40" s="4"/>
      <c r="K40" s="4"/>
      <c r="L40" s="4"/>
      <c r="M40" s="4">
        <f t="shared" si="2"/>
        <v>1023000</v>
      </c>
      <c r="N40" s="7" t="s">
        <v>87</v>
      </c>
    </row>
    <row r="41" spans="1:14" ht="30">
      <c r="A41" s="3">
        <v>39</v>
      </c>
      <c r="B41" s="1" t="s">
        <v>84</v>
      </c>
      <c r="C41" s="1" t="s">
        <v>85</v>
      </c>
      <c r="D41" s="1" t="s">
        <v>19</v>
      </c>
      <c r="E41" s="3" t="s">
        <v>20</v>
      </c>
      <c r="F41" s="4">
        <v>1023000</v>
      </c>
      <c r="G41" s="4"/>
      <c r="H41" s="4">
        <f t="shared" si="0"/>
        <v>1023000</v>
      </c>
      <c r="I41" s="4">
        <f t="shared" si="1"/>
        <v>1023000</v>
      </c>
      <c r="J41" s="4"/>
      <c r="K41" s="4"/>
      <c r="L41" s="4"/>
      <c r="M41" s="4">
        <f t="shared" si="2"/>
        <v>1023000</v>
      </c>
      <c r="N41" s="4"/>
    </row>
    <row r="42" spans="1:14">
      <c r="I42" s="6">
        <f>SUM(I3:I41)</f>
        <v>40941000</v>
      </c>
      <c r="M42" s="5"/>
    </row>
  </sheetData>
  <autoFilter ref="A2:M2"/>
  <mergeCells count="4">
    <mergeCell ref="A1:E1"/>
    <mergeCell ref="F1:H1"/>
    <mergeCell ref="I1:J1"/>
    <mergeCell ref="K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2025-05-31T01:43:54Z</dcterms:modified>
</cp:coreProperties>
</file>